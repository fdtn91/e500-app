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 D\Documentos 3dPrints\"/>
    </mc:Choice>
  </mc:AlternateContent>
  <xr:revisionPtr revIDLastSave="0" documentId="13_ncr:1_{5738DEC5-93A9-4938-BF57-2BA5BFAC9E0E}" xr6:coauthVersionLast="47" xr6:coauthVersionMax="47" xr10:uidLastSave="{00000000-0000-0000-0000-000000000000}"/>
  <bookViews>
    <workbookView xWindow="23880" yWindow="-120" windowWidth="11760" windowHeight="20010" xr2:uid="{DB662A87-38D2-4B82-BA7B-EEB4F42DFBBF}"/>
  </bookViews>
  <sheets>
    <sheet name="SHORTCUTS" sheetId="19" r:id="rId1"/>
    <sheet name="Hoja7" sheetId="29" r:id="rId2"/>
    <sheet name="Hoja3" sheetId="26" r:id="rId3"/>
    <sheet name="Hoja5" sheetId="22" r:id="rId4"/>
    <sheet name="Hoja2" sheetId="4" r:id="rId5"/>
    <sheet name="ROJO_MORADO_DORADO" sheetId="20" r:id="rId6"/>
    <sheet name="PLA BLANCO KARDENAL" sheetId="1" r:id="rId7"/>
    <sheet name="NEGRO GOLD MORADO" sheetId="10" r:id="rId8"/>
    <sheet name="NEGRO AZUL MORADO" sheetId="12" r:id="rId9"/>
    <sheet name="PLA ROJO KARDENAL" sheetId="3" r:id="rId10"/>
    <sheet name="PLA NEGRO KARDENAL" sheetId="2" r:id="rId11"/>
    <sheet name="PLA BEIGE KARDENAL" sheetId="5" r:id="rId12"/>
    <sheet name="Hoja1" sheetId="9" state="hidden" r:id="rId13"/>
    <sheet name="PLA LILA KARDENAL" sheetId="6" r:id="rId14"/>
    <sheet name="PLA SILVER KARDENAL" sheetId="8" r:id="rId15"/>
    <sheet name="PLA VERDE MATTE" sheetId="18" r:id="rId16"/>
    <sheet name="PLA AZUL MATTE SUNLU" sheetId="11" r:id="rId17"/>
    <sheet name="PLA AMARILLO MATTE SUNLU" sheetId="25" r:id="rId18"/>
    <sheet name="NEGRO ROJO DORADO" sheetId="15" r:id="rId19"/>
    <sheet name="ROJO AZUL VERDE" sheetId="13" r:id="rId20"/>
    <sheet name="PLA NARANJA MEXICOMAKERS" sheetId="14" r:id="rId21"/>
    <sheet name="Hoja4" sheetId="21" r:id="rId22"/>
    <sheet name="Hoja6" sheetId="23" r:id="rId23"/>
    <sheet name="Cafe Mexicomakers" sheetId="24" r:id="rId24"/>
    <sheet name="PLA+ NEGRO SUNLU" sheetId="27" r:id="rId25"/>
    <sheet name="PETG CAFE SUNLU" sheetId="30" r:id="rId26"/>
    <sheet name="Hoja8" sheetId="31" r:id="rId2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6" l="1"/>
  <c r="G42" i="6"/>
  <c r="C32" i="11"/>
  <c r="C33" i="11"/>
  <c r="G31" i="18"/>
  <c r="G32" i="18"/>
  <c r="H9" i="19"/>
  <c r="H4" i="19"/>
  <c r="H5" i="19"/>
  <c r="H6" i="19"/>
  <c r="H7" i="19"/>
  <c r="H3" i="19"/>
  <c r="F3" i="19"/>
  <c r="F7" i="19"/>
  <c r="F6" i="19"/>
  <c r="F5" i="19"/>
  <c r="F4" i="19"/>
  <c r="G3" i="31"/>
  <c r="C4" i="31" s="1"/>
  <c r="G4" i="31" s="1"/>
  <c r="C5" i="31" s="1"/>
  <c r="G5" i="31" s="1"/>
  <c r="C6" i="31" s="1"/>
  <c r="G6" i="31" s="1"/>
  <c r="C7" i="31" s="1"/>
  <c r="G7" i="31" s="1"/>
  <c r="C8" i="31" s="1"/>
  <c r="G8" i="31" s="1"/>
  <c r="C9" i="31" s="1"/>
  <c r="G9" i="31" s="1"/>
  <c r="C10" i="31" s="1"/>
  <c r="G10" i="31" s="1"/>
  <c r="C11" i="31" s="1"/>
  <c r="G11" i="31" s="1"/>
  <c r="C12" i="31" s="1"/>
  <c r="G12" i="31" s="1"/>
  <c r="C13" i="31" s="1"/>
  <c r="G13" i="31" s="1"/>
  <c r="C14" i="31" s="1"/>
  <c r="G14" i="31" s="1"/>
  <c r="C15" i="31" s="1"/>
  <c r="G15" i="31" s="1"/>
  <c r="C16" i="31" s="1"/>
  <c r="G16" i="31" s="1"/>
  <c r="C17" i="31" s="1"/>
  <c r="G17" i="31" s="1"/>
  <c r="C18" i="31" s="1"/>
  <c r="G18" i="31" s="1"/>
  <c r="C19" i="31" s="1"/>
  <c r="G19" i="31" s="1"/>
  <c r="C20" i="31" s="1"/>
  <c r="G20" i="31" s="1"/>
  <c r="C21" i="31" s="1"/>
  <c r="G21" i="31" s="1"/>
  <c r="C22" i="31" s="1"/>
  <c r="G22" i="31" s="1"/>
  <c r="C23" i="31" s="1"/>
  <c r="G23" i="31" s="1"/>
  <c r="C24" i="31" s="1"/>
  <c r="G24" i="31" s="1"/>
  <c r="C25" i="31" s="1"/>
  <c r="G25" i="31" s="1"/>
  <c r="C26" i="31" s="1"/>
  <c r="G26" i="31" s="1"/>
  <c r="C27" i="31" s="1"/>
  <c r="G27" i="31" s="1"/>
  <c r="G74" i="1"/>
  <c r="C74" i="1"/>
  <c r="C75" i="1"/>
  <c r="G75" i="1" s="1"/>
  <c r="C76" i="1" s="1"/>
  <c r="G76" i="1" s="1"/>
  <c r="C77" i="1" s="1"/>
  <c r="G77" i="1" s="1"/>
  <c r="C78" i="1" s="1"/>
  <c r="G78" i="1" s="1"/>
  <c r="C79" i="1" s="1"/>
  <c r="G79" i="1" s="1"/>
  <c r="C80" i="1" s="1"/>
  <c r="G80" i="1" s="1"/>
  <c r="C81" i="1" s="1"/>
  <c r="G81" i="1" s="1"/>
  <c r="C82" i="1" s="1"/>
  <c r="G82" i="1" s="1"/>
  <c r="C83" i="1" s="1"/>
  <c r="G83" i="1" s="1"/>
  <c r="C84" i="1" s="1"/>
  <c r="G84" i="1" s="1"/>
  <c r="C85" i="1" s="1"/>
  <c r="G85" i="1" s="1"/>
  <c r="C86" i="1" s="1"/>
  <c r="G86" i="1" s="1"/>
  <c r="C87" i="1" s="1"/>
  <c r="G87" i="1" s="1"/>
  <c r="C88" i="1" s="1"/>
  <c r="G88" i="1" s="1"/>
  <c r="C89" i="1" s="1"/>
  <c r="G89" i="1" s="1"/>
  <c r="C90" i="1" s="1"/>
  <c r="G90" i="1" s="1"/>
  <c r="C91" i="1" s="1"/>
  <c r="G91" i="1" s="1"/>
  <c r="C92" i="1" s="1"/>
  <c r="G92" i="1" s="1"/>
  <c r="C93" i="1" s="1"/>
  <c r="G93" i="1" s="1"/>
  <c r="C94" i="1" s="1"/>
  <c r="G94" i="1" s="1"/>
  <c r="C95" i="1" s="1"/>
  <c r="G95" i="1" s="1"/>
  <c r="C96" i="1" s="1"/>
  <c r="G96" i="1" s="1"/>
  <c r="C97" i="1" s="1"/>
  <c r="G97" i="1" s="1"/>
  <c r="C98" i="1" s="1"/>
  <c r="G98" i="1" s="1"/>
  <c r="G3" i="30"/>
  <c r="C4" i="30" s="1"/>
  <c r="G4" i="30" s="1"/>
  <c r="C5" i="30" s="1"/>
  <c r="G5" i="30" s="1"/>
  <c r="C6" i="30" s="1"/>
  <c r="G6" i="30" s="1"/>
  <c r="C7" i="30" s="1"/>
  <c r="G7" i="30" s="1"/>
  <c r="C8" i="30" s="1"/>
  <c r="G8" i="30" s="1"/>
  <c r="C9" i="30" s="1"/>
  <c r="G9" i="30" s="1"/>
  <c r="C10" i="30" s="1"/>
  <c r="G10" i="30" s="1"/>
  <c r="C11" i="30" s="1"/>
  <c r="G11" i="30" s="1"/>
  <c r="C12" i="30" s="1"/>
  <c r="G12" i="30" s="1"/>
  <c r="C13" i="30" s="1"/>
  <c r="G13" i="30" s="1"/>
  <c r="C14" i="30" s="1"/>
  <c r="G14" i="30" s="1"/>
  <c r="C15" i="30" s="1"/>
  <c r="G15" i="30" s="1"/>
  <c r="C16" i="30" s="1"/>
  <c r="G16" i="30" s="1"/>
  <c r="C17" i="30" s="1"/>
  <c r="G17" i="30" s="1"/>
  <c r="C18" i="30" s="1"/>
  <c r="G18" i="30" s="1"/>
  <c r="C19" i="30" s="1"/>
  <c r="G19" i="30" s="1"/>
  <c r="C20" i="30" s="1"/>
  <c r="G20" i="30" s="1"/>
  <c r="G73" i="1"/>
  <c r="G72" i="1"/>
  <c r="G71" i="1"/>
  <c r="C4" i="27"/>
  <c r="G3" i="27"/>
  <c r="G4" i="27"/>
  <c r="C5" i="27" s="1"/>
  <c r="G5" i="27" s="1"/>
  <c r="C6" i="27" s="1"/>
  <c r="G6" i="27" s="1"/>
  <c r="C7" i="27" s="1"/>
  <c r="G7" i="27" s="1"/>
  <c r="C8" i="27" s="1"/>
  <c r="G8" i="27" s="1"/>
  <c r="C9" i="27" s="1"/>
  <c r="G9" i="27" s="1"/>
  <c r="C10" i="27" s="1"/>
  <c r="G10" i="27" s="1"/>
  <c r="C11" i="27" s="1"/>
  <c r="G11" i="27" s="1"/>
  <c r="C12" i="27" s="1"/>
  <c r="G12" i="27" s="1"/>
  <c r="C13" i="27" s="1"/>
  <c r="G13" i="27" s="1"/>
  <c r="C14" i="27" s="1"/>
  <c r="G14" i="27" s="1"/>
  <c r="C15" i="27" s="1"/>
  <c r="G15" i="27" s="1"/>
  <c r="C16" i="27" s="1"/>
  <c r="G16" i="27" s="1"/>
  <c r="C17" i="27" s="1"/>
  <c r="G17" i="27" s="1"/>
  <c r="C18" i="27" s="1"/>
  <c r="G18" i="27" s="1"/>
  <c r="C19" i="27" s="1"/>
  <c r="G19" i="27" s="1"/>
  <c r="C20" i="27" s="1"/>
  <c r="G20" i="27" s="1"/>
  <c r="C21" i="27" s="1"/>
  <c r="G21" i="27" s="1"/>
  <c r="C22" i="27" s="1"/>
  <c r="G22" i="27" s="1"/>
  <c r="C23" i="27" s="1"/>
  <c r="G23" i="27" s="1"/>
  <c r="C24" i="27" s="1"/>
  <c r="G24" i="27" s="1"/>
  <c r="C25" i="27" s="1"/>
  <c r="G25" i="27" s="1"/>
  <c r="C26" i="27" s="1"/>
  <c r="G26" i="27" s="1"/>
  <c r="C27" i="27" s="1"/>
  <c r="G27" i="27" s="1"/>
  <c r="C28" i="27" s="1"/>
  <c r="G28" i="27" s="1"/>
  <c r="C29" i="27" s="1"/>
  <c r="G29" i="27" s="1"/>
  <c r="C30" i="27" s="1"/>
  <c r="G30" i="27" s="1"/>
  <c r="C31" i="27" s="1"/>
  <c r="G31" i="27" s="1"/>
  <c r="C32" i="27" s="1"/>
  <c r="G32" i="27" s="1"/>
  <c r="C33" i="27" s="1"/>
  <c r="G33" i="27" s="1"/>
  <c r="C34" i="27" s="1"/>
  <c r="G34" i="27" s="1"/>
  <c r="C35" i="27" s="1"/>
  <c r="G35" i="27" s="1"/>
  <c r="C36" i="27" s="1"/>
  <c r="G36" i="27" s="1"/>
  <c r="G37" i="27"/>
  <c r="G38" i="27"/>
  <c r="G39" i="27"/>
  <c r="G82" i="2"/>
  <c r="G34" i="8"/>
  <c r="G50" i="8"/>
  <c r="C34" i="8"/>
  <c r="C35" i="8"/>
  <c r="G35" i="8" s="1"/>
  <c r="C36" i="8" s="1"/>
  <c r="G36" i="8" s="1"/>
  <c r="C37" i="8" s="1"/>
  <c r="G37" i="8" s="1"/>
  <c r="C38" i="8" s="1"/>
  <c r="G38" i="8" s="1"/>
  <c r="C39" i="8" s="1"/>
  <c r="G39" i="8" s="1"/>
  <c r="C40" i="8" s="1"/>
  <c r="G40" i="8" s="1"/>
  <c r="C41" i="8" s="1"/>
  <c r="G41" i="8" s="1"/>
  <c r="C42" i="8" s="1"/>
  <c r="G42" i="8" s="1"/>
  <c r="C43" i="8" s="1"/>
  <c r="G43" i="8" s="1"/>
  <c r="C44" i="8" s="1"/>
  <c r="G44" i="8" s="1"/>
  <c r="C45" i="8" s="1"/>
  <c r="G45" i="8" s="1"/>
  <c r="C46" i="8" s="1"/>
  <c r="G46" i="8" s="1"/>
  <c r="C47" i="8" s="1"/>
  <c r="G47" i="8" s="1"/>
  <c r="C48" i="8" s="1"/>
  <c r="G48" i="8" s="1"/>
  <c r="C49" i="8" s="1"/>
  <c r="G49" i="8" s="1"/>
  <c r="G33" i="8"/>
  <c r="G32" i="11"/>
  <c r="G32" i="8"/>
  <c r="C33" i="8" s="1"/>
  <c r="G31" i="8"/>
  <c r="C32" i="8" s="1"/>
  <c r="G30" i="8"/>
  <c r="C31" i="8" s="1"/>
  <c r="G7" i="24"/>
  <c r="C8" i="24" s="1"/>
  <c r="G8" i="24" s="1"/>
  <c r="G6" i="24"/>
  <c r="G29" i="8"/>
  <c r="C30" i="8" s="1"/>
  <c r="G28" i="8"/>
  <c r="C29" i="8" s="1"/>
  <c r="G27" i="8"/>
  <c r="G26" i="8"/>
  <c r="C27" i="8"/>
  <c r="C28" i="8"/>
  <c r="C72" i="1"/>
  <c r="C73" i="1"/>
  <c r="G4" i="25"/>
  <c r="G26" i="25"/>
  <c r="C5" i="25"/>
  <c r="G5" i="25" s="1"/>
  <c r="C6" i="25" s="1"/>
  <c r="G6" i="25" s="1"/>
  <c r="C7" i="25" s="1"/>
  <c r="G7" i="25" s="1"/>
  <c r="C8" i="25" s="1"/>
  <c r="G8" i="25" s="1"/>
  <c r="C9" i="25" s="1"/>
  <c r="G9" i="25" s="1"/>
  <c r="C10" i="25" s="1"/>
  <c r="G10" i="25" s="1"/>
  <c r="C11" i="25" s="1"/>
  <c r="G11" i="25" s="1"/>
  <c r="C12" i="25" s="1"/>
  <c r="G12" i="25" s="1"/>
  <c r="C13" i="25" s="1"/>
  <c r="G13" i="25" s="1"/>
  <c r="C14" i="25" s="1"/>
  <c r="G14" i="25" s="1"/>
  <c r="C15" i="25" s="1"/>
  <c r="G15" i="25" s="1"/>
  <c r="C16" i="25" s="1"/>
  <c r="G16" i="25" s="1"/>
  <c r="C17" i="25" s="1"/>
  <c r="G17" i="25" s="1"/>
  <c r="C18" i="25" s="1"/>
  <c r="G18" i="25" s="1"/>
  <c r="C19" i="25" s="1"/>
  <c r="G19" i="25" s="1"/>
  <c r="C20" i="25" s="1"/>
  <c r="G20" i="25" s="1"/>
  <c r="C21" i="25" s="1"/>
  <c r="G21" i="25" s="1"/>
  <c r="C22" i="25" s="1"/>
  <c r="G22" i="25" s="1"/>
  <c r="C23" i="25" s="1"/>
  <c r="G23" i="25" s="1"/>
  <c r="C24" i="25" s="1"/>
  <c r="G24" i="25" s="1"/>
  <c r="C25" i="25" s="1"/>
  <c r="G25" i="25" s="1"/>
  <c r="G3" i="25"/>
  <c r="C4" i="25"/>
  <c r="G5" i="24"/>
  <c r="C6" i="24" s="1"/>
  <c r="G3" i="24"/>
  <c r="C4" i="24" s="1"/>
  <c r="G4" i="24" s="1"/>
  <c r="C5" i="24" s="1"/>
  <c r="G5" i="6"/>
  <c r="C5" i="23"/>
  <c r="G5" i="23" s="1"/>
  <c r="C6" i="23" s="1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G4" i="23"/>
  <c r="G3" i="23"/>
  <c r="C4" i="23" s="1"/>
  <c r="G3" i="21"/>
  <c r="G5" i="20"/>
  <c r="C6" i="20" s="1"/>
  <c r="G6" i="20" s="1"/>
  <c r="G33" i="11" l="1"/>
  <c r="C34" i="11" s="1"/>
  <c r="G34" i="11" s="1"/>
  <c r="C35" i="11" s="1"/>
  <c r="G35" i="11" s="1"/>
  <c r="C36" i="11" s="1"/>
  <c r="G36" i="11" s="1"/>
  <c r="C37" i="11" s="1"/>
  <c r="G37" i="11" s="1"/>
  <c r="C38" i="11" s="1"/>
  <c r="G38" i="11" s="1"/>
  <c r="C39" i="11" s="1"/>
  <c r="G39" i="11" s="1"/>
  <c r="C40" i="11" s="1"/>
  <c r="G40" i="11" s="1"/>
  <c r="C41" i="11" s="1"/>
  <c r="G41" i="11" s="1"/>
  <c r="C42" i="11" s="1"/>
  <c r="G42" i="11" s="1"/>
  <c r="C43" i="11" s="1"/>
  <c r="G43" i="11" s="1"/>
  <c r="C44" i="11" s="1"/>
  <c r="G44" i="11" s="1"/>
  <c r="C45" i="11" s="1"/>
  <c r="G45" i="11" s="1"/>
  <c r="C46" i="11" s="1"/>
  <c r="G46" i="11" s="1"/>
  <c r="C47" i="11" s="1"/>
  <c r="G47" i="11" s="1"/>
  <c r="C48" i="11" s="1"/>
  <c r="G48" i="11" s="1"/>
  <c r="C49" i="11" s="1"/>
  <c r="G49" i="11" s="1"/>
  <c r="C50" i="11" s="1"/>
  <c r="G50" i="11" s="1"/>
  <c r="C51" i="11" s="1"/>
  <c r="G51" i="11" s="1"/>
  <c r="C52" i="11" s="1"/>
  <c r="G52" i="11" s="1"/>
  <c r="C53" i="11" s="1"/>
  <c r="G53" i="11" s="1"/>
  <c r="C7" i="24"/>
  <c r="L22" i="1"/>
  <c r="G3" i="18"/>
  <c r="C4" i="18" s="1"/>
  <c r="G4" i="18" s="1"/>
  <c r="C5" i="18" s="1"/>
  <c r="G5" i="18" s="1"/>
  <c r="C6" i="18" s="1"/>
  <c r="G6" i="18" s="1"/>
  <c r="C7" i="18" s="1"/>
  <c r="G7" i="18" s="1"/>
  <c r="C8" i="18" s="1"/>
  <c r="G8" i="18" s="1"/>
  <c r="C9" i="18" s="1"/>
  <c r="G9" i="18" s="1"/>
  <c r="C10" i="18" s="1"/>
  <c r="G10" i="18" s="1"/>
  <c r="C11" i="18" s="1"/>
  <c r="G11" i="18" s="1"/>
  <c r="C12" i="18" s="1"/>
  <c r="G12" i="18" s="1"/>
  <c r="C13" i="18" s="1"/>
  <c r="G13" i="18" s="1"/>
  <c r="C14" i="18" s="1"/>
  <c r="G14" i="18" s="1"/>
  <c r="C15" i="18" s="1"/>
  <c r="G15" i="18" s="1"/>
  <c r="C16" i="18" s="1"/>
  <c r="G16" i="18" s="1"/>
  <c r="C17" i="18" s="1"/>
  <c r="G17" i="18" s="1"/>
  <c r="C18" i="18" s="1"/>
  <c r="G18" i="18" s="1"/>
  <c r="C19" i="18" s="1"/>
  <c r="G19" i="18" s="1"/>
  <c r="C20" i="18" s="1"/>
  <c r="G20" i="18" s="1"/>
  <c r="C21" i="18" s="1"/>
  <c r="G21" i="18" s="1"/>
  <c r="C22" i="18" s="1"/>
  <c r="G22" i="18" s="1"/>
  <c r="C23" i="18" s="1"/>
  <c r="G23" i="18" s="1"/>
  <c r="C24" i="18" s="1"/>
  <c r="G24" i="18" s="1"/>
  <c r="C25" i="18" s="1"/>
  <c r="G25" i="18" s="1"/>
  <c r="C26" i="18" s="1"/>
  <c r="G26" i="18" s="1"/>
  <c r="C27" i="18" s="1"/>
  <c r="G27" i="18" s="1"/>
  <c r="C28" i="18" s="1"/>
  <c r="G28" i="18" s="1"/>
  <c r="C29" i="18" s="1"/>
  <c r="G29" i="18" s="1"/>
  <c r="C30" i="18" s="1"/>
  <c r="G30" i="18" s="1"/>
  <c r="G25" i="15"/>
  <c r="G24" i="15"/>
  <c r="G2" i="15"/>
  <c r="C3" i="15" s="1"/>
  <c r="G3" i="15" s="1"/>
  <c r="C4" i="15" s="1"/>
  <c r="G4" i="15" s="1"/>
  <c r="C5" i="15" s="1"/>
  <c r="G5" i="15" s="1"/>
  <c r="C6" i="15" s="1"/>
  <c r="G6" i="15" s="1"/>
  <c r="C7" i="15" s="1"/>
  <c r="G7" i="15" s="1"/>
  <c r="C8" i="15" s="1"/>
  <c r="G8" i="15" s="1"/>
  <c r="C9" i="15" s="1"/>
  <c r="G9" i="15" s="1"/>
  <c r="C10" i="15" s="1"/>
  <c r="G10" i="15" s="1"/>
  <c r="C11" i="15" s="1"/>
  <c r="G11" i="15" s="1"/>
  <c r="C12" i="15" s="1"/>
  <c r="G12" i="15" s="1"/>
  <c r="C13" i="15" s="1"/>
  <c r="G13" i="15" s="1"/>
  <c r="C14" i="15" s="1"/>
  <c r="G14" i="15" s="1"/>
  <c r="C15" i="15" s="1"/>
  <c r="G15" i="15" s="1"/>
  <c r="C16" i="15" s="1"/>
  <c r="G16" i="15" s="1"/>
  <c r="C17" i="15" s="1"/>
  <c r="G17" i="15" s="1"/>
  <c r="C18" i="15" s="1"/>
  <c r="G18" i="15" s="1"/>
  <c r="C19" i="15" s="1"/>
  <c r="G19" i="15" s="1"/>
  <c r="C20" i="15" s="1"/>
  <c r="G20" i="15" s="1"/>
  <c r="C21" i="15" s="1"/>
  <c r="G21" i="15" s="1"/>
  <c r="C22" i="15" s="1"/>
  <c r="G22" i="15" s="1"/>
  <c r="C23" i="15" s="1"/>
  <c r="G23" i="15" s="1"/>
  <c r="G4" i="14"/>
  <c r="C5" i="14" s="1"/>
  <c r="G5" i="14"/>
  <c r="C6" i="14" s="1"/>
  <c r="G6" i="14" s="1"/>
  <c r="C7" i="14" s="1"/>
  <c r="G7" i="14" s="1"/>
  <c r="C8" i="14" s="1"/>
  <c r="G8" i="14" s="1"/>
  <c r="C9" i="14" s="1"/>
  <c r="G9" i="14" s="1"/>
  <c r="C10" i="14" s="1"/>
  <c r="G10" i="14" s="1"/>
  <c r="C11" i="14" s="1"/>
  <c r="G11" i="14" s="1"/>
  <c r="C12" i="14" s="1"/>
  <c r="G12" i="14" s="1"/>
  <c r="C13" i="14" s="1"/>
  <c r="G13" i="14" s="1"/>
  <c r="C14" i="14" s="1"/>
  <c r="G14" i="14" s="1"/>
  <c r="C15" i="14" s="1"/>
  <c r="G15" i="14" s="1"/>
  <c r="C16" i="14" s="1"/>
  <c r="G16" i="14" s="1"/>
  <c r="C17" i="14" s="1"/>
  <c r="G17" i="14" s="1"/>
  <c r="C18" i="14" s="1"/>
  <c r="G18" i="14" s="1"/>
  <c r="C19" i="14" s="1"/>
  <c r="G19" i="14" s="1"/>
  <c r="C20" i="14" s="1"/>
  <c r="G20" i="14" s="1"/>
  <c r="C21" i="14" s="1"/>
  <c r="G21" i="14" s="1"/>
  <c r="C22" i="14" s="1"/>
  <c r="G22" i="14" s="1"/>
  <c r="C23" i="14" s="1"/>
  <c r="G23" i="14" s="1"/>
  <c r="C24" i="14" s="1"/>
  <c r="G24" i="14" s="1"/>
  <c r="C25" i="14" s="1"/>
  <c r="G25" i="14" s="1"/>
  <c r="C26" i="14" s="1"/>
  <c r="G26" i="14" s="1"/>
  <c r="C27" i="14" s="1"/>
  <c r="G27" i="14" s="1"/>
  <c r="C28" i="14" s="1"/>
  <c r="G28" i="14" s="1"/>
  <c r="C4" i="14"/>
  <c r="G3" i="14"/>
  <c r="G25" i="13"/>
  <c r="G24" i="13"/>
  <c r="G2" i="13"/>
  <c r="C3" i="13" s="1"/>
  <c r="G3" i="13" s="1"/>
  <c r="C4" i="13" s="1"/>
  <c r="G4" i="13" s="1"/>
  <c r="C5" i="13" s="1"/>
  <c r="G5" i="13" s="1"/>
  <c r="C6" i="13" s="1"/>
  <c r="G6" i="13" s="1"/>
  <c r="C7" i="13" s="1"/>
  <c r="G7" i="13" s="1"/>
  <c r="C8" i="13" s="1"/>
  <c r="G8" i="13" s="1"/>
  <c r="C9" i="13" s="1"/>
  <c r="G9" i="13" s="1"/>
  <c r="C10" i="13" s="1"/>
  <c r="G10" i="13" s="1"/>
  <c r="C11" i="13" s="1"/>
  <c r="G11" i="13" s="1"/>
  <c r="C12" i="13" s="1"/>
  <c r="G12" i="13" s="1"/>
  <c r="C13" i="13" s="1"/>
  <c r="G13" i="13" s="1"/>
  <c r="C14" i="13" s="1"/>
  <c r="G14" i="13" s="1"/>
  <c r="C15" i="13" s="1"/>
  <c r="G15" i="13" s="1"/>
  <c r="C16" i="13" s="1"/>
  <c r="G16" i="13" s="1"/>
  <c r="C17" i="13" s="1"/>
  <c r="G17" i="13" s="1"/>
  <c r="C18" i="13" s="1"/>
  <c r="G18" i="13" s="1"/>
  <c r="C19" i="13" s="1"/>
  <c r="G19" i="13" s="1"/>
  <c r="C20" i="13" s="1"/>
  <c r="G20" i="13" s="1"/>
  <c r="C21" i="13" s="1"/>
  <c r="G21" i="13" s="1"/>
  <c r="C22" i="13" s="1"/>
  <c r="G22" i="13" s="1"/>
  <c r="C23" i="13" s="1"/>
  <c r="G23" i="13" s="1"/>
  <c r="G3" i="12"/>
  <c r="C4" i="12" s="1"/>
  <c r="G4" i="12" s="1"/>
  <c r="C5" i="12" s="1"/>
  <c r="G5" i="12" s="1"/>
  <c r="C6" i="12" s="1"/>
  <c r="G6" i="12" s="1"/>
  <c r="C7" i="12" s="1"/>
  <c r="G7" i="12" s="1"/>
  <c r="C8" i="12" s="1"/>
  <c r="G8" i="12" s="1"/>
  <c r="C9" i="12" s="1"/>
  <c r="G9" i="12" s="1"/>
  <c r="C10" i="12" s="1"/>
  <c r="G10" i="12" s="1"/>
  <c r="C11" i="12" s="1"/>
  <c r="G11" i="12" s="1"/>
  <c r="C12" i="12" s="1"/>
  <c r="G12" i="12" s="1"/>
  <c r="C13" i="12" s="1"/>
  <c r="G13" i="12" s="1"/>
  <c r="C14" i="12" s="1"/>
  <c r="G14" i="12" s="1"/>
  <c r="C15" i="12" s="1"/>
  <c r="G15" i="12" s="1"/>
  <c r="C16" i="12" s="1"/>
  <c r="G16" i="12" s="1"/>
  <c r="C17" i="12" s="1"/>
  <c r="G17" i="12" s="1"/>
  <c r="C18" i="12" s="1"/>
  <c r="G18" i="12" s="1"/>
  <c r="C19" i="12" s="1"/>
  <c r="G19" i="12" s="1"/>
  <c r="C20" i="12" s="1"/>
  <c r="G20" i="12" s="1"/>
  <c r="C21" i="12" s="1"/>
  <c r="G21" i="12" s="1"/>
  <c r="C22" i="12" s="1"/>
  <c r="G22" i="12" s="1"/>
  <c r="C23" i="12" s="1"/>
  <c r="G23" i="12" s="1"/>
  <c r="G24" i="12"/>
  <c r="G25" i="12"/>
  <c r="G2" i="12"/>
  <c r="C3" i="12"/>
  <c r="G3" i="11"/>
  <c r="C4" i="11" s="1"/>
  <c r="G4" i="11" s="1"/>
  <c r="C5" i="11" s="1"/>
  <c r="G5" i="11" s="1"/>
  <c r="C6" i="11" s="1"/>
  <c r="G6" i="11" s="1"/>
  <c r="C7" i="11" s="1"/>
  <c r="G7" i="11" s="1"/>
  <c r="C8" i="11" s="1"/>
  <c r="G8" i="11" s="1"/>
  <c r="C9" i="11" s="1"/>
  <c r="G9" i="11" s="1"/>
  <c r="C10" i="11" s="1"/>
  <c r="G10" i="11" s="1"/>
  <c r="C11" i="11" s="1"/>
  <c r="G11" i="11" s="1"/>
  <c r="C12" i="11" s="1"/>
  <c r="G12" i="11" s="1"/>
  <c r="C13" i="11" s="1"/>
  <c r="G13" i="11" s="1"/>
  <c r="C14" i="11" s="1"/>
  <c r="G14" i="11" s="1"/>
  <c r="C15" i="11" s="1"/>
  <c r="G15" i="11" s="1"/>
  <c r="C16" i="11" s="1"/>
  <c r="G16" i="11" s="1"/>
  <c r="C17" i="11" s="1"/>
  <c r="G17" i="11" s="1"/>
  <c r="C18" i="11" s="1"/>
  <c r="G18" i="11" s="1"/>
  <c r="C19" i="11" s="1"/>
  <c r="G19" i="11" s="1"/>
  <c r="C20" i="11" s="1"/>
  <c r="G20" i="11" s="1"/>
  <c r="C21" i="11" s="1"/>
  <c r="G21" i="11" s="1"/>
  <c r="C22" i="11" s="1"/>
  <c r="G22" i="11" s="1"/>
  <c r="C23" i="11" s="1"/>
  <c r="G23" i="11" s="1"/>
  <c r="C24" i="11" s="1"/>
  <c r="G24" i="11" s="1"/>
  <c r="C25" i="11" s="1"/>
  <c r="G25" i="11" s="1"/>
  <c r="C26" i="11" s="1"/>
  <c r="G26" i="11" s="1"/>
  <c r="C27" i="11" s="1"/>
  <c r="G27" i="11" s="1"/>
  <c r="C28" i="11" s="1"/>
  <c r="G28" i="11" s="1"/>
  <c r="C29" i="11" s="1"/>
  <c r="G29" i="11" s="1"/>
  <c r="C30" i="11" s="1"/>
  <c r="G30" i="11" s="1"/>
  <c r="C31" i="11" s="1"/>
  <c r="G31" i="11" s="1"/>
  <c r="C9" i="10"/>
  <c r="G8" i="10"/>
  <c r="G9" i="10"/>
  <c r="C10" i="10" s="1"/>
  <c r="G10" i="10" s="1"/>
  <c r="C11" i="10" s="1"/>
  <c r="G11" i="10" s="1"/>
  <c r="C12" i="10" s="1"/>
  <c r="G12" i="10" s="1"/>
  <c r="C13" i="10" s="1"/>
  <c r="G13" i="10" s="1"/>
  <c r="C14" i="10" s="1"/>
  <c r="G14" i="10" s="1"/>
  <c r="C15" i="10" s="1"/>
  <c r="G15" i="10" s="1"/>
  <c r="C16" i="10" s="1"/>
  <c r="G16" i="10" s="1"/>
  <c r="C17" i="10" s="1"/>
  <c r="G17" i="10" s="1"/>
  <c r="C18" i="10" s="1"/>
  <c r="G18" i="10" s="1"/>
  <c r="C19" i="10" s="1"/>
  <c r="G19" i="10" s="1"/>
  <c r="C20" i="10" s="1"/>
  <c r="G20" i="10" s="1"/>
  <c r="C21" i="10" s="1"/>
  <c r="G21" i="10" s="1"/>
  <c r="C22" i="10" s="1"/>
  <c r="G22" i="10" s="1"/>
  <c r="C23" i="10" s="1"/>
  <c r="G23" i="10" s="1"/>
  <c r="C24" i="10" s="1"/>
  <c r="G24" i="10" s="1"/>
  <c r="C25" i="10" s="1"/>
  <c r="G2" i="10"/>
  <c r="C3" i="10" s="1"/>
  <c r="G3" i="10" s="1"/>
  <c r="C4" i="10" s="1"/>
  <c r="G4" i="10" s="1"/>
  <c r="C5" i="10" s="1"/>
  <c r="G5" i="10" s="1"/>
  <c r="C6" i="10" s="1"/>
  <c r="G6" i="10" s="1"/>
  <c r="C7" i="10" s="1"/>
  <c r="G7" i="10" s="1"/>
  <c r="G58" i="5"/>
  <c r="C59" i="5" s="1"/>
  <c r="G59" i="5" s="1"/>
  <c r="C60" i="5" s="1"/>
  <c r="G60" i="5" s="1"/>
  <c r="C61" i="5" s="1"/>
  <c r="G61" i="5" s="1"/>
  <c r="C62" i="5" s="1"/>
  <c r="G62" i="5" s="1"/>
  <c r="C63" i="5" s="1"/>
  <c r="G63" i="5" s="1"/>
  <c r="C64" i="5" s="1"/>
  <c r="G64" i="5" s="1"/>
  <c r="C65" i="5" s="1"/>
  <c r="G65" i="5" s="1"/>
  <c r="C66" i="5" s="1"/>
  <c r="G66" i="5" s="1"/>
  <c r="C67" i="5" s="1"/>
  <c r="G67" i="5" s="1"/>
  <c r="C68" i="5" s="1"/>
  <c r="G68" i="5" s="1"/>
  <c r="C69" i="5" s="1"/>
  <c r="G69" i="5" s="1"/>
  <c r="C70" i="5" s="1"/>
  <c r="G70" i="5" s="1"/>
  <c r="C71" i="5" s="1"/>
  <c r="G71" i="5" s="1"/>
  <c r="C72" i="5" s="1"/>
  <c r="G72" i="5" s="1"/>
  <c r="C73" i="5" s="1"/>
  <c r="G73" i="5" s="1"/>
  <c r="C74" i="5" s="1"/>
  <c r="G74" i="5" s="1"/>
  <c r="C75" i="5" s="1"/>
  <c r="G75" i="5" s="1"/>
  <c r="C76" i="5" s="1"/>
  <c r="G76" i="5" s="1"/>
  <c r="C77" i="5" s="1"/>
  <c r="G77" i="5" s="1"/>
  <c r="C78" i="5" s="1"/>
  <c r="G78" i="5" s="1"/>
  <c r="C79" i="5" s="1"/>
  <c r="G79" i="5" s="1"/>
  <c r="C80" i="5" s="1"/>
  <c r="G80" i="5" s="1"/>
  <c r="C81" i="5" s="1"/>
  <c r="G81" i="5" s="1"/>
  <c r="C82" i="5" s="1"/>
  <c r="G82" i="5" s="1"/>
  <c r="C83" i="5" s="1"/>
  <c r="G83" i="5" s="1"/>
  <c r="C84" i="5" s="1"/>
  <c r="G84" i="5" s="1"/>
  <c r="C58" i="5"/>
  <c r="G34" i="2"/>
  <c r="C34" i="2"/>
  <c r="C35" i="2"/>
  <c r="G35" i="2" s="1"/>
  <c r="C36" i="2" s="1"/>
  <c r="G36" i="2" s="1"/>
  <c r="C37" i="2" s="1"/>
  <c r="G37" i="2" s="1"/>
  <c r="C38" i="2" s="1"/>
  <c r="G38" i="2" s="1"/>
  <c r="C39" i="2" s="1"/>
  <c r="G39" i="2" s="1"/>
  <c r="C40" i="2" s="1"/>
  <c r="G40" i="2" s="1"/>
  <c r="C41" i="2" s="1"/>
  <c r="G41" i="2" s="1"/>
  <c r="C42" i="2" s="1"/>
  <c r="G42" i="2" s="1"/>
  <c r="C43" i="2" s="1"/>
  <c r="G43" i="2" s="1"/>
  <c r="C44" i="2" s="1"/>
  <c r="G44" i="2" s="1"/>
  <c r="C45" i="2" s="1"/>
  <c r="G45" i="2" s="1"/>
  <c r="C46" i="2" s="1"/>
  <c r="G46" i="2" s="1"/>
  <c r="C47" i="2" s="1"/>
  <c r="G47" i="2" s="1"/>
  <c r="C48" i="2" s="1"/>
  <c r="G48" i="2" s="1"/>
  <c r="C49" i="2" s="1"/>
  <c r="G49" i="2" s="1"/>
  <c r="C50" i="2" s="1"/>
  <c r="G50" i="2" s="1"/>
  <c r="C51" i="2" s="1"/>
  <c r="G51" i="2" s="1"/>
  <c r="C52" i="2" s="1"/>
  <c r="G52" i="2" s="1"/>
  <c r="C53" i="2" s="1"/>
  <c r="G53" i="2" s="1"/>
  <c r="C54" i="2" s="1"/>
  <c r="G54" i="2" s="1"/>
  <c r="C55" i="2" s="1"/>
  <c r="G55" i="2" s="1"/>
  <c r="C56" i="2" s="1"/>
  <c r="G56" i="2" s="1"/>
  <c r="C57" i="2" s="1"/>
  <c r="G57" i="2" s="1"/>
  <c r="C58" i="2" s="1"/>
  <c r="G58" i="2" s="1"/>
  <c r="C59" i="2" s="1"/>
  <c r="G59" i="2" s="1"/>
  <c r="C60" i="2" s="1"/>
  <c r="G60" i="2" s="1"/>
  <c r="C61" i="2" s="1"/>
  <c r="G61" i="2" s="1"/>
  <c r="C62" i="2" s="1"/>
  <c r="G62" i="2" s="1"/>
  <c r="C63" i="2" s="1"/>
  <c r="G63" i="2" s="1"/>
  <c r="C64" i="2" s="1"/>
  <c r="G64" i="2" s="1"/>
  <c r="C65" i="2" s="1"/>
  <c r="G65" i="2" s="1"/>
  <c r="C66" i="2" s="1"/>
  <c r="G66" i="2" s="1"/>
  <c r="C67" i="2" s="1"/>
  <c r="G67" i="2" s="1"/>
  <c r="C68" i="2" s="1"/>
  <c r="G68" i="2" s="1"/>
  <c r="C69" i="2" s="1"/>
  <c r="G69" i="2" s="1"/>
  <c r="C70" i="2" s="1"/>
  <c r="G70" i="2" s="1"/>
  <c r="C71" i="2" s="1"/>
  <c r="G71" i="2" s="1"/>
  <c r="G72" i="2" s="1"/>
  <c r="C73" i="2" s="1"/>
  <c r="G73" i="2" s="1"/>
  <c r="C74" i="2" s="1"/>
  <c r="G74" i="2" s="1"/>
  <c r="C75" i="2" s="1"/>
  <c r="G75" i="2" s="1"/>
  <c r="C76" i="2" s="1"/>
  <c r="G76" i="2" s="1"/>
  <c r="C77" i="2" s="1"/>
  <c r="G77" i="2" s="1"/>
  <c r="C78" i="2" s="1"/>
  <c r="G78" i="2" s="1"/>
  <c r="C79" i="2" s="1"/>
  <c r="G79" i="2" s="1"/>
  <c r="C80" i="2" s="1"/>
  <c r="G80" i="2" s="1"/>
  <c r="C81" i="2" s="1"/>
  <c r="G81" i="2" s="1"/>
  <c r="G20" i="3"/>
  <c r="G37" i="3"/>
  <c r="G25" i="4"/>
  <c r="I44" i="5"/>
  <c r="B48" i="5"/>
  <c r="B33" i="5"/>
  <c r="C5" i="6"/>
  <c r="C6" i="6"/>
  <c r="G6" i="6" s="1"/>
  <c r="C7" i="6" s="1"/>
  <c r="G7" i="6" s="1"/>
  <c r="C8" i="6" s="1"/>
  <c r="G8" i="6" s="1"/>
  <c r="C9" i="6" s="1"/>
  <c r="G9" i="6" s="1"/>
  <c r="C10" i="6" s="1"/>
  <c r="G10" i="6" s="1"/>
  <c r="C11" i="6" s="1"/>
  <c r="G11" i="6" s="1"/>
  <c r="C12" i="6" s="1"/>
  <c r="G12" i="6" s="1"/>
  <c r="C13" i="6" s="1"/>
  <c r="G13" i="6" s="1"/>
  <c r="C14" i="6" s="1"/>
  <c r="G14" i="6" s="1"/>
  <c r="C15" i="6" s="1"/>
  <c r="G15" i="6" s="1"/>
  <c r="C16" i="6" s="1"/>
  <c r="G16" i="6" s="1"/>
  <c r="C17" i="6" s="1"/>
  <c r="G17" i="6" s="1"/>
  <c r="C18" i="6" s="1"/>
  <c r="G18" i="6" s="1"/>
  <c r="C19" i="6" s="1"/>
  <c r="G19" i="6" s="1"/>
  <c r="C20" i="6" s="1"/>
  <c r="G20" i="6" s="1"/>
  <c r="C21" i="6" s="1"/>
  <c r="G21" i="6" s="1"/>
  <c r="C22" i="6" s="1"/>
  <c r="G22" i="6" s="1"/>
  <c r="C23" i="6" s="1"/>
  <c r="G23" i="6" s="1"/>
  <c r="C24" i="6" s="1"/>
  <c r="G24" i="6" s="1"/>
  <c r="C25" i="6" s="1"/>
  <c r="G25" i="6" s="1"/>
  <c r="C26" i="6" s="1"/>
  <c r="G26" i="6" s="1"/>
  <c r="C27" i="6" s="1"/>
  <c r="G27" i="6" s="1"/>
  <c r="C28" i="6" s="1"/>
  <c r="G28" i="6" s="1"/>
  <c r="C29" i="6" s="1"/>
  <c r="G29" i="6" s="1"/>
  <c r="C30" i="6" s="1"/>
  <c r="G30" i="6" s="1"/>
  <c r="C31" i="6" s="1"/>
  <c r="G31" i="6" s="1"/>
  <c r="C32" i="6" s="1"/>
  <c r="G32" i="6" s="1"/>
  <c r="C33" i="6" s="1"/>
  <c r="G33" i="6" s="1"/>
  <c r="C34" i="6" s="1"/>
  <c r="G34" i="6" s="1"/>
  <c r="C35" i="6" s="1"/>
  <c r="G35" i="6" s="1"/>
  <c r="C36" i="6" s="1"/>
  <c r="G36" i="6" s="1"/>
  <c r="C37" i="6" s="1"/>
  <c r="G37" i="6" s="1"/>
  <c r="C38" i="6" s="1"/>
  <c r="G38" i="6" s="1"/>
  <c r="C39" i="6" s="1"/>
  <c r="G39" i="6" s="1"/>
  <c r="C40" i="6" s="1"/>
  <c r="G40" i="6" s="1"/>
  <c r="C4" i="6"/>
  <c r="G4" i="6" s="1"/>
  <c r="G3" i="8"/>
  <c r="C4" i="8"/>
  <c r="G4" i="8" s="1"/>
  <c r="G3" i="6"/>
  <c r="L8" i="5"/>
  <c r="J10" i="5"/>
  <c r="G39" i="5"/>
  <c r="C39" i="5"/>
  <c r="C40" i="5"/>
  <c r="G40" i="5" s="1"/>
  <c r="C41" i="5" s="1"/>
  <c r="G41" i="5" s="1"/>
  <c r="C42" i="5" s="1"/>
  <c r="G42" i="5" s="1"/>
  <c r="C43" i="5" s="1"/>
  <c r="G43" i="5" s="1"/>
  <c r="C44" i="5" s="1"/>
  <c r="G44" i="5" s="1"/>
  <c r="C45" i="5" s="1"/>
  <c r="G45" i="5" s="1"/>
  <c r="C46" i="5" s="1"/>
  <c r="G46" i="5" s="1"/>
  <c r="C47" i="5" s="1"/>
  <c r="G47" i="5" s="1"/>
  <c r="C48" i="5" s="1"/>
  <c r="G48" i="5" s="1"/>
  <c r="C49" i="5" s="1"/>
  <c r="G49" i="5" s="1"/>
  <c r="C50" i="5" s="1"/>
  <c r="G50" i="5" s="1"/>
  <c r="C51" i="5" s="1"/>
  <c r="G51" i="5" s="1"/>
  <c r="C52" i="5" s="1"/>
  <c r="G52" i="5" s="1"/>
  <c r="C53" i="5" s="1"/>
  <c r="G53" i="5" s="1"/>
  <c r="C54" i="5" s="1"/>
  <c r="G54" i="5" s="1"/>
  <c r="C55" i="5" s="1"/>
  <c r="G55" i="5" s="1"/>
  <c r="C56" i="5" s="1"/>
  <c r="G56" i="5" s="1"/>
  <c r="C57" i="5" s="1"/>
  <c r="G57" i="5" s="1"/>
  <c r="C33" i="5"/>
  <c r="G33" i="5" s="1"/>
  <c r="C34" i="5" s="1"/>
  <c r="G34" i="5" s="1"/>
  <c r="C35" i="5" s="1"/>
  <c r="G35" i="5" s="1"/>
  <c r="C36" i="5" s="1"/>
  <c r="G36" i="5" s="1"/>
  <c r="C37" i="5" s="1"/>
  <c r="G37" i="5" s="1"/>
  <c r="C38" i="5" s="1"/>
  <c r="G38" i="5" s="1"/>
  <c r="G21" i="5"/>
  <c r="C22" i="5" s="1"/>
  <c r="G22" i="5" s="1"/>
  <c r="C23" i="5" s="1"/>
  <c r="G23" i="5" s="1"/>
  <c r="C24" i="5" s="1"/>
  <c r="G24" i="5" s="1"/>
  <c r="C25" i="5" s="1"/>
  <c r="G25" i="5" s="1"/>
  <c r="C26" i="5" s="1"/>
  <c r="G26" i="5" s="1"/>
  <c r="C27" i="5" s="1"/>
  <c r="G27" i="5" s="1"/>
  <c r="C28" i="5" s="1"/>
  <c r="G28" i="5" s="1"/>
  <c r="C29" i="5" s="1"/>
  <c r="G29" i="5" s="1"/>
  <c r="C30" i="5" s="1"/>
  <c r="G30" i="5" s="1"/>
  <c r="C31" i="5" s="1"/>
  <c r="G31" i="5" s="1"/>
  <c r="C32" i="5" s="1"/>
  <c r="G32" i="5" s="1"/>
  <c r="C21" i="5"/>
  <c r="G20" i="5"/>
  <c r="C5" i="5"/>
  <c r="G5" i="5" s="1"/>
  <c r="C6" i="5" s="1"/>
  <c r="G6" i="5" s="1"/>
  <c r="C7" i="5" s="1"/>
  <c r="G7" i="5" s="1"/>
  <c r="C8" i="5" s="1"/>
  <c r="G8" i="5" s="1"/>
  <c r="C9" i="5" s="1"/>
  <c r="G9" i="5" s="1"/>
  <c r="C10" i="5" s="1"/>
  <c r="G10" i="5" s="1"/>
  <c r="C11" i="5" s="1"/>
  <c r="G11" i="5" s="1"/>
  <c r="C12" i="5" s="1"/>
  <c r="G12" i="5" s="1"/>
  <c r="C13" i="5" s="1"/>
  <c r="G13" i="5" s="1"/>
  <c r="C14" i="5" s="1"/>
  <c r="G14" i="5" s="1"/>
  <c r="C15" i="5" s="1"/>
  <c r="G15" i="5" s="1"/>
  <c r="C16" i="5" s="1"/>
  <c r="G16" i="5" s="1"/>
  <c r="C17" i="5" s="1"/>
  <c r="G17" i="5" s="1"/>
  <c r="C18" i="5" s="1"/>
  <c r="G18" i="5" s="1"/>
  <c r="C19" i="5" s="1"/>
  <c r="G19" i="5" s="1"/>
  <c r="C20" i="5" s="1"/>
  <c r="G4" i="5"/>
  <c r="G3" i="5"/>
  <c r="G24" i="2"/>
  <c r="C25" i="2" s="1"/>
  <c r="G25" i="2" s="1"/>
  <c r="C26" i="2" s="1"/>
  <c r="G26" i="2" s="1"/>
  <c r="C27" i="2" s="1"/>
  <c r="G27" i="2" s="1"/>
  <c r="C28" i="2" s="1"/>
  <c r="G28" i="2" s="1"/>
  <c r="C29" i="2" s="1"/>
  <c r="G29" i="2" s="1"/>
  <c r="C30" i="2" s="1"/>
  <c r="G30" i="2" s="1"/>
  <c r="C31" i="2" s="1"/>
  <c r="G31" i="2" s="1"/>
  <c r="C32" i="2" s="1"/>
  <c r="G32" i="2" s="1"/>
  <c r="C33" i="2" s="1"/>
  <c r="G33" i="2" s="1"/>
  <c r="G17" i="3"/>
  <c r="C18" i="3" s="1"/>
  <c r="G18" i="3" s="1"/>
  <c r="C16" i="3"/>
  <c r="G16" i="3" s="1"/>
  <c r="C17" i="3" s="1"/>
  <c r="G2" i="3"/>
  <c r="C3" i="3" s="1"/>
  <c r="G3" i="3" s="1"/>
  <c r="C4" i="3" s="1"/>
  <c r="G4" i="3" s="1"/>
  <c r="C5" i="3" s="1"/>
  <c r="G5" i="3" s="1"/>
  <c r="C6" i="3" s="1"/>
  <c r="G6" i="3" s="1"/>
  <c r="C7" i="3" s="1"/>
  <c r="G7" i="3" s="1"/>
  <c r="C8" i="3" s="1"/>
  <c r="G8" i="3" s="1"/>
  <c r="C9" i="3" s="1"/>
  <c r="G9" i="3" s="1"/>
  <c r="C10" i="3" s="1"/>
  <c r="G10" i="3" s="1"/>
  <c r="C11" i="3" s="1"/>
  <c r="G11" i="3" s="1"/>
  <c r="C12" i="3" s="1"/>
  <c r="G12" i="3" s="1"/>
  <c r="C13" i="3" s="1"/>
  <c r="G13" i="3" s="1"/>
  <c r="C14" i="3" s="1"/>
  <c r="G14" i="3" s="1"/>
  <c r="C15" i="3" s="1"/>
  <c r="G15" i="3" s="1"/>
  <c r="G17" i="2"/>
  <c r="G18" i="2"/>
  <c r="C19" i="2" s="1"/>
  <c r="G19" i="2" s="1"/>
  <c r="C20" i="2" s="1"/>
  <c r="G20" i="2" s="1"/>
  <c r="C21" i="2" s="1"/>
  <c r="G21" i="2" s="1"/>
  <c r="C22" i="2" s="1"/>
  <c r="G22" i="2" s="1"/>
  <c r="C23" i="2" s="1"/>
  <c r="G23" i="2" s="1"/>
  <c r="C24" i="2" s="1"/>
  <c r="C17" i="2"/>
  <c r="C18" i="2"/>
  <c r="G8" i="2"/>
  <c r="C8" i="2"/>
  <c r="C9" i="2"/>
  <c r="G9" i="2" s="1"/>
  <c r="C10" i="2" s="1"/>
  <c r="G10" i="2" s="1"/>
  <c r="C11" i="2" s="1"/>
  <c r="G11" i="2" s="1"/>
  <c r="C12" i="2" s="1"/>
  <c r="G12" i="2" s="1"/>
  <c r="C13" i="2" s="1"/>
  <c r="G13" i="2" s="1"/>
  <c r="C14" i="2" s="1"/>
  <c r="G14" i="2" s="1"/>
  <c r="C15" i="2" s="1"/>
  <c r="G2" i="2"/>
  <c r="C3" i="2" s="1"/>
  <c r="G3" i="2" s="1"/>
  <c r="C4" i="2" s="1"/>
  <c r="G4" i="2" s="1"/>
  <c r="C5" i="2" s="1"/>
  <c r="G5" i="2" s="1"/>
  <c r="C6" i="2" s="1"/>
  <c r="G6" i="2" s="1"/>
  <c r="C7" i="2" s="1"/>
  <c r="G7" i="2" s="1"/>
  <c r="G9" i="1"/>
  <c r="G10" i="1" s="1"/>
  <c r="G11" i="1" s="1"/>
  <c r="C12" i="1" s="1"/>
  <c r="C9" i="24" l="1"/>
  <c r="G9" i="24" s="1"/>
  <c r="C5" i="8"/>
  <c r="G5" i="8" s="1"/>
  <c r="C6" i="8" s="1"/>
  <c r="G6" i="8" s="1"/>
  <c r="C7" i="8" s="1"/>
  <c r="G7" i="8" s="1"/>
  <c r="C8" i="8" s="1"/>
  <c r="G8" i="8" s="1"/>
  <c r="C9" i="8" s="1"/>
  <c r="G9" i="8" s="1"/>
  <c r="C10" i="8" s="1"/>
  <c r="G10" i="8" s="1"/>
  <c r="C11" i="8" s="1"/>
  <c r="G11" i="8" s="1"/>
  <c r="C12" i="8" s="1"/>
  <c r="G12" i="8" s="1"/>
  <c r="C13" i="8" s="1"/>
  <c r="G13" i="8" s="1"/>
  <c r="C14" i="8" s="1"/>
  <c r="G14" i="8" s="1"/>
  <c r="C15" i="8" s="1"/>
  <c r="G15" i="8" s="1"/>
  <c r="C16" i="8" s="1"/>
  <c r="G16" i="8" s="1"/>
  <c r="C17" i="8" s="1"/>
  <c r="G17" i="8" s="1"/>
  <c r="C18" i="8" s="1"/>
  <c r="G18" i="8" s="1"/>
  <c r="C19" i="8" s="1"/>
  <c r="G19" i="8" s="1"/>
  <c r="C20" i="8" s="1"/>
  <c r="G20" i="8" s="1"/>
  <c r="C21" i="8" s="1"/>
  <c r="G21" i="8" s="1"/>
  <c r="C22" i="8" s="1"/>
  <c r="G22" i="8" s="1"/>
  <c r="C23" i="8" s="1"/>
  <c r="G23" i="8" s="1"/>
  <c r="C24" i="8" s="1"/>
  <c r="G24" i="8" s="1"/>
  <c r="C25" i="8" s="1"/>
  <c r="G25" i="8" s="1"/>
  <c r="C26" i="8" s="1"/>
  <c r="C19" i="3"/>
  <c r="G15" i="2"/>
  <c r="C16" i="2" s="1"/>
  <c r="G16" i="2" s="1"/>
  <c r="G12" i="1"/>
  <c r="C10" i="24" l="1"/>
  <c r="G10" i="24" s="1"/>
  <c r="C13" i="1"/>
  <c r="G13" i="1" s="1"/>
  <c r="C14" i="1" s="1"/>
  <c r="G14" i="1" s="1"/>
  <c r="G19" i="3"/>
  <c r="C20" i="3" s="1"/>
  <c r="C11" i="24" l="1"/>
  <c r="G11" i="24" s="1"/>
  <c r="C15" i="1"/>
  <c r="G15" i="1" s="1"/>
  <c r="C16" i="1" s="1"/>
  <c r="G16" i="1" s="1"/>
  <c r="C21" i="3"/>
  <c r="G21" i="3" s="1"/>
  <c r="C22" i="3" s="1"/>
  <c r="G22" i="3" s="1"/>
  <c r="C23" i="3" s="1"/>
  <c r="G23" i="3" s="1"/>
  <c r="C24" i="3" s="1"/>
  <c r="G24" i="3" s="1"/>
  <c r="C25" i="3" s="1"/>
  <c r="G25" i="3" s="1"/>
  <c r="C26" i="3" s="1"/>
  <c r="G26" i="3" s="1"/>
  <c r="C27" i="3" s="1"/>
  <c r="G27" i="3" s="1"/>
  <c r="C28" i="3" s="1"/>
  <c r="G28" i="3" s="1"/>
  <c r="C29" i="3" s="1"/>
  <c r="G29" i="3" s="1"/>
  <c r="C30" i="3" s="1"/>
  <c r="G30" i="3" s="1"/>
  <c r="C31" i="3" s="1"/>
  <c r="G31" i="3" s="1"/>
  <c r="C32" i="3" s="1"/>
  <c r="G32" i="3" s="1"/>
  <c r="C33" i="3" s="1"/>
  <c r="G33" i="3" s="1"/>
  <c r="C34" i="3" s="1"/>
  <c r="G34" i="3" s="1"/>
  <c r="C35" i="3" s="1"/>
  <c r="G35" i="3" s="1"/>
  <c r="C36" i="3" s="1"/>
  <c r="G36" i="3" s="1"/>
  <c r="C12" i="24" l="1"/>
  <c r="G12" i="24" s="1"/>
  <c r="C17" i="1"/>
  <c r="G17" i="1" s="1"/>
  <c r="C13" i="24" l="1"/>
  <c r="G13" i="24" s="1"/>
  <c r="C18" i="1"/>
  <c r="G18" i="1" s="1"/>
  <c r="C19" i="1" s="1"/>
  <c r="G19" i="1" s="1"/>
  <c r="C20" i="1" s="1"/>
  <c r="G20" i="1" s="1"/>
  <c r="C21" i="1" s="1"/>
  <c r="G21" i="1" s="1"/>
  <c r="C22" i="1" s="1"/>
  <c r="G22" i="1" s="1"/>
  <c r="C23" i="1" s="1"/>
  <c r="G23" i="1" s="1"/>
  <c r="C24" i="1" s="1"/>
  <c r="G24" i="1" s="1"/>
  <c r="C25" i="1" s="1"/>
  <c r="G25" i="1" s="1"/>
  <c r="C26" i="1" s="1"/>
  <c r="G26" i="1" s="1"/>
  <c r="C27" i="1" s="1"/>
  <c r="G27" i="1" s="1"/>
  <c r="C28" i="1" s="1"/>
  <c r="G28" i="1" s="1"/>
  <c r="C29" i="1" s="1"/>
  <c r="G29" i="1" s="1"/>
  <c r="C30" i="1" s="1"/>
  <c r="G30" i="1" s="1"/>
  <c r="C31" i="1" s="1"/>
  <c r="G31" i="1" s="1"/>
  <c r="C32" i="1" s="1"/>
  <c r="G32" i="1" s="1"/>
  <c r="C33" i="1" s="1"/>
  <c r="G33" i="1" s="1"/>
  <c r="C34" i="1" s="1"/>
  <c r="G34" i="1" s="1"/>
  <c r="C35" i="1" s="1"/>
  <c r="G35" i="1" s="1"/>
  <c r="C36" i="1" s="1"/>
  <c r="G36" i="1" s="1"/>
  <c r="C37" i="1" s="1"/>
  <c r="G37" i="1" s="1"/>
  <c r="C38" i="1" s="1"/>
  <c r="G38" i="1" s="1"/>
  <c r="C39" i="1" s="1"/>
  <c r="G39" i="1" s="1"/>
  <c r="C40" i="1" s="1"/>
  <c r="G40" i="1" s="1"/>
  <c r="C41" i="1" s="1"/>
  <c r="G41" i="1" s="1"/>
  <c r="C42" i="1" s="1"/>
  <c r="G42" i="1" s="1"/>
  <c r="C43" i="1" s="1"/>
  <c r="G43" i="1" s="1"/>
  <c r="C44" i="1" s="1"/>
  <c r="G44" i="1" s="1"/>
  <c r="C45" i="1" s="1"/>
  <c r="G45" i="1" s="1"/>
  <c r="C46" i="1" s="1"/>
  <c r="G46" i="1" s="1"/>
  <c r="C47" i="1" s="1"/>
  <c r="G47" i="1" s="1"/>
  <c r="C48" i="1" s="1"/>
  <c r="G48" i="1" s="1"/>
  <c r="C49" i="1" s="1"/>
  <c r="G49" i="1" s="1"/>
  <c r="C50" i="1" s="1"/>
  <c r="G50" i="1" s="1"/>
  <c r="C51" i="1" s="1"/>
  <c r="G51" i="1" s="1"/>
  <c r="C52" i="1" s="1"/>
  <c r="G52" i="1" s="1"/>
  <c r="C53" i="1" s="1"/>
  <c r="G53" i="1" s="1"/>
  <c r="C54" i="1" s="1"/>
  <c r="G54" i="1" s="1"/>
  <c r="C55" i="1" s="1"/>
  <c r="G55" i="1" s="1"/>
  <c r="C56" i="1" s="1"/>
  <c r="G56" i="1" s="1"/>
  <c r="C57" i="1" s="1"/>
  <c r="G57" i="1" s="1"/>
  <c r="C58" i="1" s="1"/>
  <c r="G58" i="1" s="1"/>
  <c r="C59" i="1" s="1"/>
  <c r="G59" i="1" s="1"/>
  <c r="C60" i="1" s="1"/>
  <c r="G60" i="1" s="1"/>
  <c r="C61" i="1" s="1"/>
  <c r="G61" i="1" s="1"/>
  <c r="C62" i="1" s="1"/>
  <c r="G62" i="1" s="1"/>
  <c r="C63" i="1" s="1"/>
  <c r="G63" i="1" s="1"/>
  <c r="C64" i="1" s="1"/>
  <c r="G64" i="1" s="1"/>
  <c r="C65" i="1" s="1"/>
  <c r="G65" i="1" s="1"/>
  <c r="C66" i="1" s="1"/>
  <c r="G66" i="1" s="1"/>
  <c r="C67" i="1" s="1"/>
  <c r="G67" i="1" s="1"/>
  <c r="C68" i="1" s="1"/>
  <c r="G68" i="1" s="1"/>
  <c r="C69" i="1" s="1"/>
  <c r="G69" i="1" s="1"/>
  <c r="C70" i="1" s="1"/>
  <c r="G70" i="1" s="1"/>
  <c r="C71" i="1" s="1"/>
  <c r="C14" i="24" l="1"/>
  <c r="G14" i="24" s="1"/>
  <c r="C15" i="24" l="1"/>
  <c r="G15" i="24" s="1"/>
  <c r="C16" i="24" l="1"/>
  <c r="G16" i="24" s="1"/>
  <c r="C17" i="24" l="1"/>
  <c r="G17" i="24" s="1"/>
  <c r="C18" i="24" l="1"/>
  <c r="G18" i="24" s="1"/>
  <c r="C19" i="24" l="1"/>
  <c r="G19" i="24" s="1"/>
  <c r="C20" i="24" l="1"/>
  <c r="G20" i="24" s="1"/>
  <c r="C21" i="24" l="1"/>
  <c r="G21" i="24" s="1"/>
  <c r="C22" i="24" l="1"/>
  <c r="G22" i="24" s="1"/>
  <c r="C23" i="24" l="1"/>
  <c r="G23" i="24" s="1"/>
  <c r="C24" i="24" l="1"/>
  <c r="G24" i="24" s="1"/>
  <c r="C25" i="24" l="1"/>
  <c r="G25" i="24" s="1"/>
  <c r="C26" i="24" l="1"/>
  <c r="G26" i="24" s="1"/>
  <c r="C27" i="24" l="1"/>
  <c r="G27" i="24" s="1"/>
  <c r="C28" i="24" l="1"/>
  <c r="G28" i="24" s="1"/>
  <c r="C29" i="24" l="1"/>
  <c r="G29" i="24" s="1"/>
  <c r="C30" i="24" l="1"/>
  <c r="C31" i="24" l="1"/>
  <c r="G30" i="24"/>
</calcChain>
</file>

<file path=xl/sharedStrings.xml><?xml version="1.0" encoding="utf-8"?>
<sst xmlns="http://schemas.openxmlformats.org/spreadsheetml/2006/main" count="963" uniqueCount="626">
  <si>
    <t>filamentos</t>
  </si>
  <si>
    <t>Tri-Color silk</t>
  </si>
  <si>
    <t>total en gr</t>
  </si>
  <si>
    <t>fecha</t>
  </si>
  <si>
    <t>impresión</t>
  </si>
  <si>
    <t>uso en gramos</t>
  </si>
  <si>
    <t>octopussy</t>
  </si>
  <si>
    <t>filamento restante</t>
  </si>
  <si>
    <t>prueba cama</t>
  </si>
  <si>
    <t>prueba cuadrito</t>
  </si>
  <si>
    <t>PLA BLANCO KARDENAL</t>
  </si>
  <si>
    <t>Costo</t>
  </si>
  <si>
    <t>torre de prueba de temp</t>
  </si>
  <si>
    <t>test de flujo YOLO perfect</t>
  </si>
  <si>
    <t>min 190</t>
  </si>
  <si>
    <t>max 196</t>
  </si>
  <si>
    <t>temperatura boquilla</t>
  </si>
  <si>
    <t>temperatura capas</t>
  </si>
  <si>
    <t>inicial 196</t>
  </si>
  <si>
    <t>max 185</t>
  </si>
  <si>
    <t>test flujo yolo 1</t>
  </si>
  <si>
    <t>flow</t>
  </si>
  <si>
    <t>test flujo paso 2</t>
  </si>
  <si>
    <t>test volados</t>
  </si>
  <si>
    <t xml:space="preserve"> (cancelado)</t>
  </si>
  <si>
    <t>test preasure advanced</t>
  </si>
  <si>
    <t>preasure advance</t>
  </si>
  <si>
    <t>test retracciones</t>
  </si>
  <si>
    <t>retraccion lenght</t>
  </si>
  <si>
    <t>retraccion speed</t>
  </si>
  <si>
    <t>40mms</t>
  </si>
  <si>
    <t>test de tolerancias</t>
  </si>
  <si>
    <t>test de voladizos</t>
  </si>
  <si>
    <t>test max flow</t>
  </si>
  <si>
    <t>angulo seguro</t>
  </si>
  <si>
    <t>48°</t>
  </si>
  <si>
    <t>Teste Preasur advance 2</t>
  </si>
  <si>
    <t>TEST CUBO</t>
  </si>
  <si>
    <t>velocidad volumetrirca</t>
  </si>
  <si>
    <t>litofania prueba</t>
  </si>
  <si>
    <t>soporte spool</t>
  </si>
  <si>
    <t>fallida</t>
  </si>
  <si>
    <t>PLA NEGRO</t>
  </si>
  <si>
    <t>torre temp</t>
  </si>
  <si>
    <t>flujos (2pases</t>
  </si>
  <si>
    <t>fujo fase 2</t>
  </si>
  <si>
    <t>presion linean</t>
  </si>
  <si>
    <t>presion lineal</t>
  </si>
  <si>
    <t>retracciones</t>
  </si>
  <si>
    <t>cubo</t>
  </si>
  <si>
    <t>prueba usb y leds</t>
  </si>
  <si>
    <t>LITOFANIA COSTOS</t>
  </si>
  <si>
    <t>prueba ubs2</t>
  </si>
  <si>
    <t>prueba fitings</t>
  </si>
  <si>
    <t>prueba fitings2</t>
  </si>
  <si>
    <t>prueba cubo</t>
  </si>
  <si>
    <t>cubo hueco</t>
  </si>
  <si>
    <t>fitings3</t>
  </si>
  <si>
    <t>prueba fit</t>
  </si>
  <si>
    <t>pruebalito plana</t>
  </si>
  <si>
    <t>prueba riel</t>
  </si>
  <si>
    <t>prueba tapa y base</t>
  </si>
  <si>
    <t>PRUEBA PLANCHADO</t>
  </si>
  <si>
    <t>Base 1 Generica</t>
  </si>
  <si>
    <t>litofania prueba2</t>
  </si>
  <si>
    <t>PLA ROJO</t>
  </si>
  <si>
    <t>flujos</t>
  </si>
  <si>
    <t>llaveros lego</t>
  </si>
  <si>
    <t>4 piezas</t>
  </si>
  <si>
    <t>1 par llavero lego</t>
  </si>
  <si>
    <t>llavero puzle</t>
  </si>
  <si>
    <t>llavero plan</t>
  </si>
  <si>
    <t>llavero flex</t>
  </si>
  <si>
    <t>llavero encajable (1pza)</t>
  </si>
  <si>
    <t>llavero fidget</t>
  </si>
  <si>
    <t>tanda llaveros rojos</t>
  </si>
  <si>
    <t>failed</t>
  </si>
  <si>
    <t>teclado</t>
  </si>
  <si>
    <t>cassetey marco</t>
  </si>
  <si>
    <t>Cassete</t>
  </si>
  <si>
    <t>3,9 las dos</t>
  </si>
  <si>
    <t>llavero sobre</t>
  </si>
  <si>
    <t>15,16 g</t>
  </si>
  <si>
    <t>llavero encajable</t>
  </si>
  <si>
    <t>llavero engranes</t>
  </si>
  <si>
    <t>cassete y otros</t>
  </si>
  <si>
    <t>soporte mesh</t>
  </si>
  <si>
    <t>VENTAS Y PEDIDOS</t>
  </si>
  <si>
    <t>CORAZON YANE</t>
  </si>
  <si>
    <t>PESO</t>
  </si>
  <si>
    <t>MATERIAL</t>
  </si>
  <si>
    <t>COSTO PROD</t>
  </si>
  <si>
    <t>EXTRAS</t>
  </si>
  <si>
    <t>PRECIO VENTA</t>
  </si>
  <si>
    <t>TIEMPO DE</t>
  </si>
  <si>
    <t>IMPRESIÓN</t>
  </si>
  <si>
    <t>LEGOMAN NEGRO</t>
  </si>
  <si>
    <t>tanda llaveros</t>
  </si>
  <si>
    <t>piezas snoopy</t>
  </si>
  <si>
    <t>brazo 1 soporte</t>
  </si>
  <si>
    <t>legoman</t>
  </si>
  <si>
    <t>bocho</t>
  </si>
  <si>
    <t>brazo 2 soporte</t>
  </si>
  <si>
    <t>char</t>
  </si>
  <si>
    <t>charolita cassete</t>
  </si>
  <si>
    <t>brazo 3 y vecna</t>
  </si>
  <si>
    <t>PLA SKIN BEIGE KARDENAL</t>
  </si>
  <si>
    <t>PLA BEIGE</t>
  </si>
  <si>
    <t>fail</t>
  </si>
  <si>
    <t>30x5 mm</t>
  </si>
  <si>
    <t>"moneda"</t>
  </si>
  <si>
    <t>flow2</t>
  </si>
  <si>
    <t>flow 1</t>
  </si>
  <si>
    <t>flow 2</t>
  </si>
  <si>
    <t>PA testt</t>
  </si>
  <si>
    <t>pa test 2</t>
  </si>
  <si>
    <t>tolerancia ,05</t>
  </si>
  <si>
    <t>tolerancias</t>
  </si>
  <si>
    <t>prueba lego</t>
  </si>
  <si>
    <t>prueba3</t>
  </si>
  <si>
    <t>prueb6</t>
  </si>
  <si>
    <t>prueba7 con escala</t>
  </si>
  <si>
    <t>prueba 7con escala</t>
  </si>
  <si>
    <t>prueba 8</t>
  </si>
  <si>
    <t>prueba 1 brazo solo</t>
  </si>
  <si>
    <t>prueba 11juntos</t>
  </si>
  <si>
    <t>prueba12</t>
  </si>
  <si>
    <t>prueba 13</t>
  </si>
  <si>
    <t>prueba 14 ajuste de tolerancia y medio torso</t>
  </si>
  <si>
    <t>prueba15</t>
  </si>
  <si>
    <t>cabezas, torsos y pelo</t>
  </si>
  <si>
    <t>manos,pies ybrazos</t>
  </si>
  <si>
    <t>brazo solo</t>
  </si>
  <si>
    <t>faltantes lego</t>
  </si>
  <si>
    <t>retry ensamble</t>
  </si>
  <si>
    <t>retry ensamble 2</t>
  </si>
  <si>
    <t>retrycabeza</t>
  </si>
  <si>
    <t>retrypiernas</t>
  </si>
  <si>
    <t>retrypiernas3</t>
  </si>
  <si>
    <t>retrypiernas4</t>
  </si>
  <si>
    <t>retrypiernas5</t>
  </si>
  <si>
    <t>retrypiernas 6</t>
  </si>
  <si>
    <t>retry7</t>
  </si>
  <si>
    <t>retry8</t>
  </si>
  <si>
    <t>retry9</t>
  </si>
  <si>
    <t>try10</t>
  </si>
  <si>
    <t>try11</t>
  </si>
  <si>
    <t>final patas</t>
  </si>
  <si>
    <t>RAMONA FLOWERS</t>
  </si>
  <si>
    <t>pareja y 2 marcos Mon</t>
  </si>
  <si>
    <t>mona y 3 marcos</t>
  </si>
  <si>
    <t>casita sami</t>
  </si>
  <si>
    <t>marcos final mon</t>
  </si>
  <si>
    <t>tipa mon</t>
  </si>
  <si>
    <t>monitos y cuadro circulas</t>
  </si>
  <si>
    <t>mono</t>
  </si>
  <si>
    <t>mono2</t>
  </si>
  <si>
    <t>PLA LILA KARDENAL</t>
  </si>
  <si>
    <t>llavero corazon</t>
  </si>
  <si>
    <t>cubo prueba</t>
  </si>
  <si>
    <t>Llavero White/Rojo</t>
  </si>
  <si>
    <t>Solo white</t>
  </si>
  <si>
    <t>cubotest</t>
  </si>
  <si>
    <t>llavero pz</t>
  </si>
  <si>
    <t>Cuadros</t>
  </si>
  <si>
    <t>PAR DE LEGOS</t>
  </si>
  <si>
    <t>CUADROS 6</t>
  </si>
  <si>
    <t>CUADROS 4</t>
  </si>
  <si>
    <t>PERSONITAS</t>
  </si>
  <si>
    <t>SUMA LEGOS</t>
  </si>
  <si>
    <t>SUMA CUADROS</t>
  </si>
  <si>
    <t>CUADROS 2</t>
  </si>
  <si>
    <t>PLA SILVER</t>
  </si>
  <si>
    <t>LLAVEROS PUZZLE</t>
  </si>
  <si>
    <t>PLA BLANCO</t>
  </si>
  <si>
    <t>PLA LILA</t>
  </si>
  <si>
    <t>LITOFANIA KARELINA CON BASE</t>
  </si>
  <si>
    <t>piezas soporte</t>
  </si>
  <si>
    <t>piezas soporte2</t>
  </si>
  <si>
    <t>LITOFANIA KARELINA</t>
  </si>
  <si>
    <t>LITOFANIA CHUY</t>
  </si>
  <si>
    <t>Faltante Snoopy</t>
  </si>
  <si>
    <t>FAIL</t>
  </si>
  <si>
    <t>PLA SILVER KARDENAL</t>
  </si>
  <si>
    <t>cabeza y body snoopy</t>
  </si>
  <si>
    <t>llavero snoopy toño</t>
  </si>
  <si>
    <t>yoshi amrce</t>
  </si>
  <si>
    <t>corazon puzzle morado/silver</t>
  </si>
  <si>
    <t>corazon puzzle rojo/blanco</t>
  </si>
  <si>
    <t>llaveros yaneli (2 lego man, corazon mov yane)</t>
  </si>
  <si>
    <t>llaveros toño</t>
  </si>
  <si>
    <t>tiempo de impresión</t>
  </si>
  <si>
    <t>59 min 42 s</t>
  </si>
  <si>
    <t>1h 9m</t>
  </si>
  <si>
    <t>2hrs 40</t>
  </si>
  <si>
    <t>por los 2</t>
  </si>
  <si>
    <t>1HR 9</t>
  </si>
  <si>
    <t>spool holders</t>
  </si>
  <si>
    <t>tapa y llaveros toño</t>
  </si>
  <si>
    <t>llavero try2</t>
  </si>
  <si>
    <t>2 llavero yaneli</t>
  </si>
  <si>
    <t xml:space="preserve"> yoshi marce</t>
  </si>
  <si>
    <t>1h 18</t>
  </si>
  <si>
    <t>corazones yaneli</t>
  </si>
  <si>
    <t>39m</t>
  </si>
  <si>
    <t>mitad romi</t>
  </si>
  <si>
    <t>13m</t>
  </si>
  <si>
    <t>59m</t>
  </si>
  <si>
    <t>base copa piston y llavero luna nego</t>
  </si>
  <si>
    <t>mitad corazn, copa piston</t>
  </si>
  <si>
    <t>BASE LITOFANIA Y TAPA</t>
  </si>
  <si>
    <t>2 BASES 2 TAPAS</t>
  </si>
  <si>
    <t>51H</t>
  </si>
  <si>
    <t>6H 24M</t>
  </si>
  <si>
    <t>8m</t>
  </si>
  <si>
    <t>prueba offset</t>
  </si>
  <si>
    <t>corazon faltante yaneli</t>
  </si>
  <si>
    <t>5m</t>
  </si>
  <si>
    <t>cassete y piezas negras snoopy</t>
  </si>
  <si>
    <t>1h 49</t>
  </si>
  <si>
    <t>placa rosas</t>
  </si>
  <si>
    <t>16m</t>
  </si>
  <si>
    <t>placa corazon</t>
  </si>
  <si>
    <t>etiqueta cassete</t>
  </si>
  <si>
    <t>7m</t>
  </si>
  <si>
    <t>etiqueta casete</t>
  </si>
  <si>
    <t>4 cuadros rectangulares Montchu</t>
  </si>
  <si>
    <t>2h13</t>
  </si>
  <si>
    <t>4 cuadros ovalados y manos</t>
  </si>
  <si>
    <t>2h 7</t>
  </si>
  <si>
    <t>rosas base</t>
  </si>
  <si>
    <t>8h 55</t>
  </si>
  <si>
    <t>2 personitas mon</t>
  </si>
  <si>
    <t>15m</t>
  </si>
  <si>
    <t>manos try 2</t>
  </si>
  <si>
    <t>54m</t>
  </si>
  <si>
    <t>partes snoopy</t>
  </si>
  <si>
    <t>3h 17</t>
  </si>
  <si>
    <t>Fail a 30%</t>
  </si>
  <si>
    <t>partes snoopy try2</t>
  </si>
  <si>
    <t>fail al 5%</t>
  </si>
  <si>
    <t>partes snoopy try 3 1 pieza</t>
  </si>
  <si>
    <t>partes blancas snoopy nabil</t>
  </si>
  <si>
    <t>1h 136</t>
  </si>
  <si>
    <t>cabezas back snoopy</t>
  </si>
  <si>
    <t>corazones yaneli y collares snoopy</t>
  </si>
  <si>
    <t>49m</t>
  </si>
  <si>
    <t>base lito kare y llaveros chuy</t>
  </si>
  <si>
    <t>2h 41</t>
  </si>
  <si>
    <t>tapa lito gris</t>
  </si>
  <si>
    <t>bases litofania 2</t>
  </si>
  <si>
    <t>5h 30</t>
  </si>
  <si>
    <t>oveja chava</t>
  </si>
  <si>
    <t>2h 33</t>
  </si>
  <si>
    <t>oveja chava try 2</t>
  </si>
  <si>
    <t>3h 50</t>
  </si>
  <si>
    <t>oveja try 3</t>
  </si>
  <si>
    <t>3h 34</t>
  </si>
  <si>
    <t>REAL 14/02</t>
  </si>
  <si>
    <t>TEMPERATURA TORRE</t>
  </si>
  <si>
    <t>1h 15</t>
  </si>
  <si>
    <t>cubo de prueba</t>
  </si>
  <si>
    <t>disco de color prueba</t>
  </si>
  <si>
    <t>PLA MATTE AZUL</t>
  </si>
  <si>
    <t>10M</t>
  </si>
  <si>
    <t>PRUEBA LLAVERO</t>
  </si>
  <si>
    <t>25M</t>
  </si>
  <si>
    <t>4 llaveros dorian</t>
  </si>
  <si>
    <t>2h 50</t>
  </si>
  <si>
    <t>llaveros dorian</t>
  </si>
  <si>
    <t>1 hr</t>
  </si>
  <si>
    <t>llavero toño pulpo</t>
  </si>
  <si>
    <t>cubo test</t>
  </si>
  <si>
    <t>20m</t>
  </si>
  <si>
    <t>llaveros chuy</t>
  </si>
  <si>
    <t>55m</t>
  </si>
  <si>
    <t>pasador gigante</t>
  </si>
  <si>
    <t>34m</t>
  </si>
  <si>
    <t>tentaculo base control</t>
  </si>
  <si>
    <t>7h 10</t>
  </si>
  <si>
    <t>PLA NARANJA MEXICOMAKERS</t>
  </si>
  <si>
    <t>cassete naranja</t>
  </si>
  <si>
    <t>1h 10</t>
  </si>
  <si>
    <t>NEGRO/ROJO/DORADO</t>
  </si>
  <si>
    <t>disco color</t>
  </si>
  <si>
    <t>11m</t>
  </si>
  <si>
    <t>NEGRO/GOLD/MORADO</t>
  </si>
  <si>
    <t>NEGRO/AZUL/MORADO</t>
  </si>
  <si>
    <t>PLA AZUL MATTE SUNLU</t>
  </si>
  <si>
    <t>ROJO/AZUL/VERDE</t>
  </si>
  <si>
    <t>PLA VERDE MATTE SUNLU</t>
  </si>
  <si>
    <t>PLA MATTEVERDE</t>
  </si>
  <si>
    <t>27m</t>
  </si>
  <si>
    <t>cubotest y cubo yum</t>
  </si>
  <si>
    <t>,79g - 4min</t>
  </si>
  <si>
    <t>letras cassete</t>
  </si>
  <si>
    <t>,33g - 3 min</t>
  </si>
  <si>
    <t>etiquetas cassette</t>
  </si>
  <si>
    <t>letras cassete try 2</t>
  </si>
  <si>
    <t>etiquetas cassette try 2</t>
  </si>
  <si>
    <t>cassete negro chuy</t>
  </si>
  <si>
    <t>Shorcuts</t>
  </si>
  <si>
    <t>PLA ROJO KARDENAL</t>
  </si>
  <si>
    <t>PLA NEGRO KARDENAL</t>
  </si>
  <si>
    <t>SHORTCUTS</t>
  </si>
  <si>
    <t>BASE XBOX AFRO 1/5</t>
  </si>
  <si>
    <t>5H</t>
  </si>
  <si>
    <t>soporte afrow 2/5</t>
  </si>
  <si>
    <t>9hrs</t>
  </si>
  <si>
    <t>soporte 3/5 afro</t>
  </si>
  <si>
    <t>7h</t>
  </si>
  <si>
    <t>soporte afro 4 de 5</t>
  </si>
  <si>
    <t>4h 18</t>
  </si>
  <si>
    <t>base y tapa litofania daniel martinez</t>
  </si>
  <si>
    <t>3h</t>
  </si>
  <si>
    <t>disco limpieza cama</t>
  </si>
  <si>
    <t>25m</t>
  </si>
  <si>
    <t>3h 15</t>
  </si>
  <si>
    <t>3h 11</t>
  </si>
  <si>
    <t>litotania daniel y jorge</t>
  </si>
  <si>
    <t>3h 22</t>
  </si>
  <si>
    <t>litofania daniel</t>
  </si>
  <si>
    <t>1h38</t>
  </si>
  <si>
    <t>ROJO/MORADO/DORADO</t>
  </si>
  <si>
    <t>ficha colores</t>
  </si>
  <si>
    <t>ROJO/AMARILLO/AZUL</t>
  </si>
  <si>
    <t>FICHA color</t>
  </si>
  <si>
    <t>NARANJA/AZUL/VERDE</t>
  </si>
  <si>
    <t>FICHA TRICOLOR</t>
  </si>
  <si>
    <t xml:space="preserve">SOPORTE 5/5 </t>
  </si>
  <si>
    <t>14H27M</t>
  </si>
  <si>
    <t>portachillos yo</t>
  </si>
  <si>
    <t>6h</t>
  </si>
  <si>
    <t>Soporte Joycon</t>
  </si>
  <si>
    <t>5h</t>
  </si>
  <si>
    <t>llavero ruthdanisam</t>
  </si>
  <si>
    <t>30m</t>
  </si>
  <si>
    <t>llaver parte 2</t>
  </si>
  <si>
    <t>Porta cepillos</t>
  </si>
  <si>
    <t>6h 22</t>
  </si>
  <si>
    <t>personita</t>
  </si>
  <si>
    <t>10m</t>
  </si>
  <si>
    <t>beige tazmania edith</t>
  </si>
  <si>
    <t>22m</t>
  </si>
  <si>
    <t>PLA CAFE MEXICOMAKERS</t>
  </si>
  <si>
    <t>PLA CAFÉ MEXICOMAKERS</t>
  </si>
  <si>
    <t>piezas café taz</t>
  </si>
  <si>
    <t>1h 27</t>
  </si>
  <si>
    <t>piezas café taz try2</t>
  </si>
  <si>
    <t>1h 11m</t>
  </si>
  <si>
    <t>piezas blanco taz</t>
  </si>
  <si>
    <t>4m</t>
  </si>
  <si>
    <t>retry piezas</t>
  </si>
  <si>
    <t>piezas negras taz</t>
  </si>
  <si>
    <t>pie taz</t>
  </si>
  <si>
    <t>lengua taz</t>
  </si>
  <si>
    <t>PIKACHU ASSASSINS MIO</t>
  </si>
  <si>
    <t>4h</t>
  </si>
  <si>
    <t>PIKACHU ASSASSINS MIO retry</t>
  </si>
  <si>
    <t>prueba primera capa</t>
  </si>
  <si>
    <t>2m</t>
  </si>
  <si>
    <t>tempertaura de  regreso prueba</t>
  </si>
  <si>
    <t>flujo de regreso a 93</t>
  </si>
  <si>
    <t>PIES-BASTON FREDDIE</t>
  </si>
  <si>
    <t>4h 49m</t>
  </si>
  <si>
    <t>torso freddie</t>
  </si>
  <si>
    <t>brazos freddie</t>
  </si>
  <si>
    <t>brazos freddie 3 trys</t>
  </si>
  <si>
    <t>baston freddie try2</t>
  </si>
  <si>
    <t>cabeza freddie</t>
  </si>
  <si>
    <t>KATANA RETRACTIL</t>
  </si>
  <si>
    <t>4H</t>
  </si>
  <si>
    <t>PIEZAS BLANCO SNOOPY</t>
  </si>
  <si>
    <t>disco prueba</t>
  </si>
  <si>
    <t>disco level test</t>
  </si>
  <si>
    <t>partes restantes snoopy</t>
  </si>
  <si>
    <t>1h 27m</t>
  </si>
  <si>
    <t>piezas negras snoopy</t>
  </si>
  <si>
    <t>1h</t>
  </si>
  <si>
    <t>cassete chuy 2</t>
  </si>
  <si>
    <t>cuello snoopy y soporte joycons</t>
  </si>
  <si>
    <t>litofaniacanek</t>
  </si>
  <si>
    <t>1h39m</t>
  </si>
  <si>
    <t>litofaniacanek retry 3</t>
  </si>
  <si>
    <t>caliper1</t>
  </si>
  <si>
    <t>caliper2</t>
  </si>
  <si>
    <t>disco prueba calibracion</t>
  </si>
  <si>
    <t>disco prueba calibracion2</t>
  </si>
  <si>
    <t>PLA AMARILLO MATTE SUNLU</t>
  </si>
  <si>
    <t>base pantalla</t>
  </si>
  <si>
    <t>2h</t>
  </si>
  <si>
    <t>BASE LITO CANEK</t>
  </si>
  <si>
    <t>CUBO TEST</t>
  </si>
  <si>
    <t>woodstock amari</t>
  </si>
  <si>
    <t>cubo test pór atenuacion</t>
  </si>
  <si>
    <t>12m</t>
  </si>
  <si>
    <t>woodstock 2</t>
  </si>
  <si>
    <t>2h29</t>
  </si>
  <si>
    <t>woodstock 3</t>
  </si>
  <si>
    <t>woodstock try4</t>
  </si>
  <si>
    <t>piezas negras woodstock try1</t>
  </si>
  <si>
    <t>figura papa</t>
  </si>
  <si>
    <t>7h 17</t>
  </si>
  <si>
    <t>PALITAS</t>
  </si>
  <si>
    <t>porta pinceles</t>
  </si>
  <si>
    <t>prueba rosca</t>
  </si>
  <si>
    <t>prueba 2</t>
  </si>
  <si>
    <t>SNOOPY TOÑO2</t>
  </si>
  <si>
    <t>2H</t>
  </si>
  <si>
    <t>disco prueba 2</t>
  </si>
  <si>
    <t>snoopy toño 2</t>
  </si>
  <si>
    <t>piezas negras snoopy toño</t>
  </si>
  <si>
    <t>collar  snoopy toño2</t>
  </si>
  <si>
    <t>JOKER 14cm</t>
  </si>
  <si>
    <t>6hr</t>
  </si>
  <si>
    <t>cejas</t>
  </si>
  <si>
    <t>silbato</t>
  </si>
  <si>
    <t>gancho toalla</t>
  </si>
  <si>
    <t>45m</t>
  </si>
  <si>
    <t>sello cera</t>
  </si>
  <si>
    <t>llavero seven perro</t>
  </si>
  <si>
    <t>llavero zeven negro</t>
  </si>
  <si>
    <t>prueba iron</t>
  </si>
  <si>
    <t>1h 22</t>
  </si>
  <si>
    <t>MACETA MUESTRA</t>
  </si>
  <si>
    <t>2H 43</t>
  </si>
  <si>
    <t>1h 20</t>
  </si>
  <si>
    <t>prueba sello 1</t>
  </si>
  <si>
    <t xml:space="preserve">14 sellos </t>
  </si>
  <si>
    <t>2h 13</t>
  </si>
  <si>
    <t>Macetas muestras 3</t>
  </si>
  <si>
    <t>5hrs</t>
  </si>
  <si>
    <t>palita impresora</t>
  </si>
  <si>
    <t>POSTE POMO 2pzas</t>
  </si>
  <si>
    <t>PIEZA BLANCA POMI</t>
  </si>
  <si>
    <t>pomo partes negras</t>
  </si>
  <si>
    <t>2h24</t>
  </si>
  <si>
    <t>5 sellos cera</t>
  </si>
  <si>
    <t>4 PARES ARETES</t>
  </si>
  <si>
    <t>1H</t>
  </si>
  <si>
    <t>TEST IRON</t>
  </si>
  <si>
    <t>parte negra llavero rayo</t>
  </si>
  <si>
    <t>2h40</t>
  </si>
  <si>
    <t>parte blanca</t>
  </si>
  <si>
    <t>2h 40</t>
  </si>
  <si>
    <t>3 joycon straps</t>
  </si>
  <si>
    <t>1h 40</t>
  </si>
  <si>
    <t>7 pares aretes</t>
  </si>
  <si>
    <t>2h 24</t>
  </si>
  <si>
    <t>corona sami</t>
  </si>
  <si>
    <t>Camarones</t>
  </si>
  <si>
    <t>28m</t>
  </si>
  <si>
    <t>prueba1 drone</t>
  </si>
  <si>
    <t>prueba2 drone</t>
  </si>
  <si>
    <t>6m</t>
  </si>
  <si>
    <t>prueba 3 drone</t>
  </si>
  <si>
    <t>9m</t>
  </si>
  <si>
    <t>ESFERAS AZULES</t>
  </si>
  <si>
    <t>30M</t>
  </si>
  <si>
    <t>retri esferas</t>
  </si>
  <si>
    <t>35m</t>
  </si>
  <si>
    <t>esferas corona</t>
  </si>
  <si>
    <t>38m</t>
  </si>
  <si>
    <t>prueba4 drone</t>
  </si>
  <si>
    <t>3m</t>
  </si>
  <si>
    <t>prueba5</t>
  </si>
  <si>
    <t>PRUEBAFIT CHASIS</t>
  </si>
  <si>
    <t>PRUEBAFIT2</t>
  </si>
  <si>
    <t>FINAL</t>
  </si>
  <si>
    <t>PRUEBA BRAZO 1</t>
  </si>
  <si>
    <t>PRUEBA BRAZO2</t>
  </si>
  <si>
    <t>prueba full draft</t>
  </si>
  <si>
    <t>pruebafit6</t>
  </si>
  <si>
    <t>37m</t>
  </si>
  <si>
    <t>draft final</t>
  </si>
  <si>
    <t>ESTRELLA MARIO</t>
  </si>
  <si>
    <t>2h 440</t>
  </si>
  <si>
    <t>ojos estrella</t>
  </si>
  <si>
    <t>ojosestrella 2</t>
  </si>
  <si>
    <t>FINAL DRONE</t>
  </si>
  <si>
    <t>48m</t>
  </si>
  <si>
    <t>cuerpo charlie brown</t>
  </si>
  <si>
    <t>2h 15</t>
  </si>
  <si>
    <t>piezas beige snoopy</t>
  </si>
  <si>
    <t>4h 12</t>
  </si>
  <si>
    <t>cabeza carlitos</t>
  </si>
  <si>
    <t>tablita sami</t>
  </si>
  <si>
    <t>PARTES NEGRAS CHARLIE BROWN</t>
  </si>
  <si>
    <t>1h14</t>
  </si>
  <si>
    <t>zapatos charlie brown</t>
  </si>
  <si>
    <t>32m</t>
  </si>
  <si>
    <t>prueba knifes</t>
  </si>
  <si>
    <t>parte negra Cuchillos, tanda 1</t>
  </si>
  <si>
    <t>3hrs</t>
  </si>
  <si>
    <t>partes blancas cuchillos, tanda 1</t>
  </si>
  <si>
    <t>3hs</t>
  </si>
  <si>
    <t>prueba llaveros dilan</t>
  </si>
  <si>
    <t>prueba blanco</t>
  </si>
  <si>
    <t>pruebablanco2</t>
  </si>
  <si>
    <t>prueba blanco3 (cambio de tamaño</t>
  </si>
  <si>
    <t>prueba blanco4 (anchos de linea)</t>
  </si>
  <si>
    <t>PLA+ NEGRO SUNLU</t>
  </si>
  <si>
    <t>PLA+ SUNLU NEGRO</t>
  </si>
  <si>
    <t>PARTES NEGRAS SNOOPY CRISTI</t>
  </si>
  <si>
    <t>collar snoopy cristi</t>
  </si>
  <si>
    <t>snoopy partes blancas cristi</t>
  </si>
  <si>
    <t>3h 45m</t>
  </si>
  <si>
    <t>separador Harry</t>
  </si>
  <si>
    <t>separador harry</t>
  </si>
  <si>
    <t>pageholder</t>
  </si>
  <si>
    <t xml:space="preserve">prueba llavero dilan (FINAL Y BUENA) </t>
  </si>
  <si>
    <t>9min</t>
  </si>
  <si>
    <t>6 LLAVEROS DILAN PARTE NEGRO</t>
  </si>
  <si>
    <t>H</t>
  </si>
  <si>
    <t>7H</t>
  </si>
  <si>
    <t>6 piezas llaveros</t>
  </si>
  <si>
    <t>5 piezas llaveros dilan</t>
  </si>
  <si>
    <t>5 LLAVEROS DILAN PARTE NEGRO</t>
  </si>
  <si>
    <t>4 LLAVEROS DILAN</t>
  </si>
  <si>
    <t>4H 35</t>
  </si>
  <si>
    <t>4 PIEZAS Llaveros dilan</t>
  </si>
  <si>
    <t>4 PIEZAS LLAVEROS DILAN</t>
  </si>
  <si>
    <t>4h 35</t>
  </si>
  <si>
    <t>1 llavero</t>
  </si>
  <si>
    <t>3 LLAVEROS DILAN</t>
  </si>
  <si>
    <t>2 llaveros 1 piece</t>
  </si>
  <si>
    <t>amiibo sonico</t>
  </si>
  <si>
    <t>26min</t>
  </si>
  <si>
    <t>{</t>
  </si>
  <si>
    <t>amiibo sonic</t>
  </si>
  <si>
    <t>23m</t>
  </si>
  <si>
    <t>PETG CAFÉ SUNLU</t>
  </si>
  <si>
    <t>TORRE TEMP</t>
  </si>
  <si>
    <t>1H 15</t>
  </si>
  <si>
    <t>TEST DE FLUJO</t>
  </si>
  <si>
    <t>46m</t>
  </si>
  <si>
    <t>TEST DE FLUJO PASS 2</t>
  </si>
  <si>
    <t>TEST PA</t>
  </si>
  <si>
    <t>TEST RETRACCION</t>
  </si>
  <si>
    <t>TEST DE VELOCIDAD DE FLUJO</t>
  </si>
  <si>
    <t xml:space="preserve"> failed</t>
  </si>
  <si>
    <t>2 PERRITOS</t>
  </si>
  <si>
    <t>5h 31m</t>
  </si>
  <si>
    <t>2 perritos</t>
  </si>
  <si>
    <t>partes perritos</t>
  </si>
  <si>
    <t>LITOFANIA SANTI</t>
  </si>
  <si>
    <t>1h 29m</t>
  </si>
  <si>
    <t>2 llaveros cassette</t>
  </si>
  <si>
    <t>PARTES BLANCA MINNIE MICKEY</t>
  </si>
  <si>
    <t>retry blancos</t>
  </si>
  <si>
    <t>retry mano</t>
  </si>
  <si>
    <t>etiquetas cassettes llaveros 2</t>
  </si>
  <si>
    <t>etiquetas retry</t>
  </si>
  <si>
    <t>negros cassete 2 llaveros</t>
  </si>
  <si>
    <t>partes negras mouses</t>
  </si>
  <si>
    <t>mouses negro</t>
  </si>
  <si>
    <t>REALES</t>
  </si>
  <si>
    <t>cabezas y body</t>
  </si>
  <si>
    <t>retry píezas</t>
  </si>
  <si>
    <t>retry pierna</t>
  </si>
  <si>
    <t>zapatos mouses</t>
  </si>
  <si>
    <t>rojos mouses</t>
  </si>
  <si>
    <t>retry rojos</t>
  </si>
  <si>
    <t>6 pares de aretes</t>
  </si>
  <si>
    <t>1h 16</t>
  </si>
  <si>
    <t>test iron</t>
  </si>
  <si>
    <t>6 pares aretes</t>
  </si>
  <si>
    <t>1 par mas</t>
  </si>
  <si>
    <t>retry par de aretes</t>
  </si>
  <si>
    <t>2h 36</t>
  </si>
  <si>
    <t>PLA ROSA MATTE SUNLU</t>
  </si>
  <si>
    <t>CUBO PRUEBA</t>
  </si>
  <si>
    <t>1 par aretes herradura</t>
  </si>
  <si>
    <t>1h24</t>
  </si>
  <si>
    <t>Aretes A</t>
  </si>
  <si>
    <t>COSTOS ARETES</t>
  </si>
  <si>
    <t>piezas</t>
  </si>
  <si>
    <t>arillo bolsa 1</t>
  </si>
  <si>
    <t>arillo bolsa 2</t>
  </si>
  <si>
    <t>ganchos bolsa 1</t>
  </si>
  <si>
    <t>ganchos bolsa 2</t>
  </si>
  <si>
    <t>Bolsa de bolsitas</t>
  </si>
  <si>
    <t>Piezas por Par</t>
  </si>
  <si>
    <t>Costo por Par</t>
  </si>
  <si>
    <t>1h44</t>
  </si>
  <si>
    <t>IRON: 25% - 20</t>
  </si>
  <si>
    <t>10% - 25mm</t>
  </si>
  <si>
    <t>1h42</t>
  </si>
  <si>
    <t>20% - 20mm</t>
  </si>
  <si>
    <t>1h 43</t>
  </si>
  <si>
    <t>retry 1 arete</t>
  </si>
  <si>
    <t>10% - 10,mm</t>
  </si>
  <si>
    <t>2h 5m</t>
  </si>
  <si>
    <t>medidor de radios bernier</t>
  </si>
  <si>
    <t>caja suegro</t>
  </si>
  <si>
    <t>Test Yadir</t>
  </si>
  <si>
    <t>test pieza morra</t>
  </si>
  <si>
    <t>test primera capa boquilla ,2</t>
  </si>
  <si>
    <t>TEST TEMPERATURA .2</t>
  </si>
  <si>
    <t>33m</t>
  </si>
  <si>
    <t>test de flujo</t>
  </si>
  <si>
    <t>43mm</t>
  </si>
  <si>
    <t>retracciones 2</t>
  </si>
  <si>
    <t>nuevo test de flujo pass 1</t>
  </si>
  <si>
    <t>nuevo test PA</t>
  </si>
  <si>
    <t>prueba de detalle arete</t>
  </si>
  <si>
    <t>43m</t>
  </si>
  <si>
    <t>prueba temp .2</t>
  </si>
  <si>
    <t xml:space="preserve">TEST DE FLUJO PASO 1 </t>
  </si>
  <si>
    <t>51m</t>
  </si>
  <si>
    <t>6 pares normales y 1 chico</t>
  </si>
  <si>
    <t>TEST FLUJO PASO 1</t>
  </si>
  <si>
    <t>TEST FLUJO PASO 2</t>
  </si>
  <si>
    <t>test PA</t>
  </si>
  <si>
    <t>test pa 2 (5° mas)</t>
  </si>
  <si>
    <t>MUESTRA ARETE GARZA</t>
  </si>
  <si>
    <t>7 pares Aretes (6, 1 fallo)</t>
  </si>
  <si>
    <t>2 pares mas</t>
  </si>
  <si>
    <t>test paso 1 ,2</t>
  </si>
  <si>
    <t>test paso 2</t>
  </si>
  <si>
    <t>pruebas fits</t>
  </si>
  <si>
    <t>10min</t>
  </si>
  <si>
    <t>prueba puente</t>
  </si>
  <si>
    <t>pureba fits 2</t>
  </si>
  <si>
    <t>prueba fit compensada</t>
  </si>
  <si>
    <t>8 piezas yadir (juegos de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</si>
</sst>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6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1"/>
    <xf numFmtId="2" fontId="0" fillId="0" borderId="0" xfId="0" applyNumberFormat="1"/>
    <xf numFmtId="43" fontId="0" fillId="0" borderId="0" xfId="2" applyFont="1"/>
    <xf numFmtId="43" fontId="0" fillId="0" borderId="0" xfId="0" applyNumberFormat="1"/>
    <xf numFmtId="9" fontId="0" fillId="0" borderId="0" xfId="0" applyNumberFormat="1"/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247650</xdr:colOff>
      <xdr:row>0</xdr:row>
      <xdr:rowOff>57150</xdr:rowOff>
    </xdr:from>
    <xdr:to>
      <xdr:col>14</xdr:col>
      <xdr:colOff>313254</xdr:colOff>
      <xdr:row>4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AC591A-1D45-E444-AB07-63BBA5F01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0" y="57150"/>
          <a:ext cx="827604" cy="714375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6</xdr:row>
      <xdr:rowOff>1</xdr:rowOff>
    </xdr:from>
    <xdr:to>
      <xdr:col>14</xdr:col>
      <xdr:colOff>371475</xdr:colOff>
      <xdr:row>10</xdr:row>
      <xdr:rowOff>39859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45AA84-A04B-FF40-49F5-6C975D924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8925" y="1143001"/>
          <a:ext cx="914400" cy="801858"/>
        </a:xfrm>
        <a:prstGeom prst="rect">
          <a:avLst/>
        </a:prstGeom>
      </xdr:spPr>
    </xdr:pic>
    <xdr:clientData/>
  </xdr:twoCellAnchor>
  <xdr:twoCellAnchor editAs="oneCell">
    <xdr:from>
      <xdr:col>13</xdr:col>
      <xdr:colOff>123826</xdr:colOff>
      <xdr:row>11</xdr:row>
      <xdr:rowOff>104775</xdr:rowOff>
    </xdr:from>
    <xdr:to>
      <xdr:col>14</xdr:col>
      <xdr:colOff>619076</xdr:colOff>
      <xdr:row>17</xdr:row>
      <xdr:rowOff>57574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226038-BF57-E456-72E3-0CEA661AF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3676" y="2200275"/>
          <a:ext cx="1257250" cy="1095799"/>
        </a:xfrm>
        <a:prstGeom prst="rect">
          <a:avLst/>
        </a:prstGeom>
      </xdr:spPr>
    </xdr:pic>
    <xdr:clientData/>
  </xdr:twoCellAnchor>
  <xdr:twoCellAnchor editAs="oneCell">
    <xdr:from>
      <xdr:col>13</xdr:col>
      <xdr:colOff>104775</xdr:colOff>
      <xdr:row>18</xdr:row>
      <xdr:rowOff>76199</xdr:rowOff>
    </xdr:from>
    <xdr:to>
      <xdr:col>14</xdr:col>
      <xdr:colOff>391704</xdr:colOff>
      <xdr:row>23</xdr:row>
      <xdr:rowOff>57602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7935C7-F96C-9A1A-6C85-BE9DE9F4E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34625" y="3505199"/>
          <a:ext cx="1048929" cy="933903"/>
        </a:xfrm>
        <a:prstGeom prst="rect">
          <a:avLst/>
        </a:prstGeom>
      </xdr:spPr>
    </xdr:pic>
    <xdr:clientData/>
  </xdr:twoCellAnchor>
  <xdr:twoCellAnchor editAs="oneCell">
    <xdr:from>
      <xdr:col>15</xdr:col>
      <xdr:colOff>492250</xdr:colOff>
      <xdr:row>2</xdr:row>
      <xdr:rowOff>77200</xdr:rowOff>
    </xdr:from>
    <xdr:to>
      <xdr:col>16</xdr:col>
      <xdr:colOff>466725</xdr:colOff>
      <xdr:row>5</xdr:row>
      <xdr:rowOff>143277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622262-3488-04F5-CEF2-B7FCC4D4A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46100" y="458200"/>
          <a:ext cx="736475" cy="637577"/>
        </a:xfrm>
        <a:prstGeom prst="rect">
          <a:avLst/>
        </a:prstGeom>
      </xdr:spPr>
    </xdr:pic>
    <xdr:clientData/>
  </xdr:twoCellAnchor>
  <xdr:twoCellAnchor editAs="oneCell">
    <xdr:from>
      <xdr:col>17</xdr:col>
      <xdr:colOff>66675</xdr:colOff>
      <xdr:row>6</xdr:row>
      <xdr:rowOff>47624</xdr:rowOff>
    </xdr:from>
    <xdr:to>
      <xdr:col>18</xdr:col>
      <xdr:colOff>756888</xdr:colOff>
      <xdr:row>13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3757804-E7C8-92A6-6F3B-0E8D75E00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44525" y="1190624"/>
          <a:ext cx="1452213" cy="1362076"/>
        </a:xfrm>
        <a:prstGeom prst="rect">
          <a:avLst/>
        </a:prstGeom>
      </xdr:spPr>
    </xdr:pic>
    <xdr:clientData/>
  </xdr:twoCellAnchor>
  <xdr:twoCellAnchor editAs="oneCell">
    <xdr:from>
      <xdr:col>16</xdr:col>
      <xdr:colOff>752476</xdr:colOff>
      <xdr:row>14</xdr:row>
      <xdr:rowOff>19050</xdr:rowOff>
    </xdr:from>
    <xdr:to>
      <xdr:col>18</xdr:col>
      <xdr:colOff>752476</xdr:colOff>
      <xdr:row>22</xdr:row>
      <xdr:rowOff>174878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FAF5603-27A2-67A7-CFE9-BCADFAC88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68326" y="2686050"/>
          <a:ext cx="1524000" cy="1679828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25</xdr:row>
      <xdr:rowOff>19050</xdr:rowOff>
    </xdr:from>
    <xdr:to>
      <xdr:col>14</xdr:col>
      <xdr:colOff>406507</xdr:colOff>
      <xdr:row>31</xdr:row>
      <xdr:rowOff>57150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FE3BC68-A969-D454-624F-0DD8135BA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39375" y="4781550"/>
          <a:ext cx="1158982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CE08-4AD1-4D87-83BE-1A28C0F91E4A}">
  <dimension ref="A2:H35"/>
  <sheetViews>
    <sheetView tabSelected="1" workbookViewId="0"/>
  </sheetViews>
  <sheetFormatPr baseColWidth="10" defaultRowHeight="15" x14ac:dyDescent="0.25"/>
  <cols>
    <col min="1" max="1" width="30" customWidth="1"/>
    <col min="2" max="2" width="30.42578125" customWidth="1"/>
    <col min="3" max="3" width="17.5703125" bestFit="1" customWidth="1"/>
  </cols>
  <sheetData>
    <row r="2" spans="1:8" x14ac:dyDescent="0.25">
      <c r="A2" t="s">
        <v>301</v>
      </c>
      <c r="C2" t="s">
        <v>575</v>
      </c>
      <c r="D2" t="s">
        <v>576</v>
      </c>
      <c r="E2" t="s">
        <v>11</v>
      </c>
      <c r="G2" t="s">
        <v>582</v>
      </c>
      <c r="H2" t="s">
        <v>583</v>
      </c>
    </row>
    <row r="3" spans="1:8" x14ac:dyDescent="0.25">
      <c r="A3" s="6" t="s">
        <v>10</v>
      </c>
      <c r="C3" t="s">
        <v>577</v>
      </c>
      <c r="D3">
        <v>165</v>
      </c>
      <c r="E3" s="2">
        <v>10</v>
      </c>
      <c r="F3" s="8">
        <f>E3/D3</f>
        <v>6.0606060606060608E-2</v>
      </c>
      <c r="G3">
        <v>2</v>
      </c>
      <c r="H3" s="9">
        <f>G3*F3</f>
        <v>0.12121212121212122</v>
      </c>
    </row>
    <row r="4" spans="1:8" x14ac:dyDescent="0.25">
      <c r="A4" s="6" t="s">
        <v>302</v>
      </c>
      <c r="C4" t="s">
        <v>578</v>
      </c>
      <c r="D4">
        <v>174</v>
      </c>
      <c r="E4" s="2">
        <v>10</v>
      </c>
      <c r="F4" s="8">
        <f>E4/D4</f>
        <v>5.7471264367816091E-2</v>
      </c>
      <c r="H4" s="9">
        <f t="shared" ref="H4:H7" si="0">G4*F4</f>
        <v>0</v>
      </c>
    </row>
    <row r="5" spans="1:8" x14ac:dyDescent="0.25">
      <c r="A5" s="6" t="s">
        <v>303</v>
      </c>
      <c r="C5" t="s">
        <v>579</v>
      </c>
      <c r="D5">
        <v>76</v>
      </c>
      <c r="E5" s="2">
        <v>10</v>
      </c>
      <c r="F5" s="8">
        <f>E5/D5</f>
        <v>0.13157894736842105</v>
      </c>
      <c r="G5">
        <v>2</v>
      </c>
      <c r="H5" s="9">
        <f t="shared" si="0"/>
        <v>0.26315789473684209</v>
      </c>
    </row>
    <row r="6" spans="1:8" x14ac:dyDescent="0.25">
      <c r="A6" s="6" t="s">
        <v>106</v>
      </c>
      <c r="C6" t="s">
        <v>580</v>
      </c>
      <c r="D6">
        <v>71</v>
      </c>
      <c r="E6" s="2">
        <v>10</v>
      </c>
      <c r="F6" s="8">
        <f>E6/D6</f>
        <v>0.14084507042253522</v>
      </c>
      <c r="H6" s="9">
        <f t="shared" si="0"/>
        <v>0</v>
      </c>
    </row>
    <row r="7" spans="1:8" x14ac:dyDescent="0.25">
      <c r="A7" s="6" t="s">
        <v>157</v>
      </c>
      <c r="C7" t="s">
        <v>581</v>
      </c>
      <c r="D7">
        <v>84</v>
      </c>
      <c r="E7" s="2">
        <v>20</v>
      </c>
      <c r="F7" s="8">
        <f>E7/D7</f>
        <v>0.23809523809523808</v>
      </c>
      <c r="G7">
        <v>1</v>
      </c>
      <c r="H7" s="9">
        <f t="shared" si="0"/>
        <v>0.23809523809523808</v>
      </c>
    </row>
    <row r="8" spans="1:8" x14ac:dyDescent="0.25">
      <c r="A8" s="6" t="s">
        <v>183</v>
      </c>
    </row>
    <row r="9" spans="1:8" x14ac:dyDescent="0.25">
      <c r="A9" s="6" t="s">
        <v>290</v>
      </c>
      <c r="B9" s="10" t="s">
        <v>588</v>
      </c>
      <c r="H9" s="9">
        <f>SUM(H3:H7)</f>
        <v>0.62246525404420139</v>
      </c>
    </row>
    <row r="10" spans="1:8" x14ac:dyDescent="0.25">
      <c r="A10" s="6" t="s">
        <v>288</v>
      </c>
      <c r="B10" s="10" t="s">
        <v>586</v>
      </c>
    </row>
    <row r="11" spans="1:8" x14ac:dyDescent="0.25">
      <c r="A11" s="6" t="s">
        <v>280</v>
      </c>
    </row>
    <row r="12" spans="1:8" x14ac:dyDescent="0.25">
      <c r="A12" s="6" t="s">
        <v>344</v>
      </c>
    </row>
    <row r="13" spans="1:8" x14ac:dyDescent="0.25">
      <c r="A13" s="6" t="s">
        <v>388</v>
      </c>
      <c r="B13" t="s">
        <v>585</v>
      </c>
    </row>
    <row r="14" spans="1:8" x14ac:dyDescent="0.25">
      <c r="A14" s="6" t="s">
        <v>502</v>
      </c>
    </row>
    <row r="15" spans="1:8" x14ac:dyDescent="0.25">
      <c r="A15" t="s">
        <v>531</v>
      </c>
    </row>
    <row r="16" spans="1:8" x14ac:dyDescent="0.25">
      <c r="A16" s="6" t="s">
        <v>570</v>
      </c>
      <c r="B16" t="s">
        <v>591</v>
      </c>
    </row>
    <row r="24" spans="1:1" x14ac:dyDescent="0.25">
      <c r="A24" s="6" t="s">
        <v>323</v>
      </c>
    </row>
    <row r="25" spans="1:1" x14ac:dyDescent="0.25">
      <c r="A25" s="6" t="s">
        <v>283</v>
      </c>
    </row>
    <row r="26" spans="1:1" x14ac:dyDescent="0.25">
      <c r="A26" s="6" t="s">
        <v>289</v>
      </c>
    </row>
    <row r="27" spans="1:1" x14ac:dyDescent="0.25">
      <c r="A27" s="6" t="s">
        <v>287</v>
      </c>
    </row>
    <row r="28" spans="1:1" x14ac:dyDescent="0.25">
      <c r="A28" s="6" t="s">
        <v>286</v>
      </c>
    </row>
    <row r="29" spans="1:1" x14ac:dyDescent="0.25">
      <c r="A29" t="s">
        <v>325</v>
      </c>
    </row>
    <row r="30" spans="1:1" x14ac:dyDescent="0.25">
      <c r="A30" s="6" t="s">
        <v>327</v>
      </c>
    </row>
    <row r="35" spans="1:1" x14ac:dyDescent="0.25">
      <c r="A35" s="6" t="s">
        <v>304</v>
      </c>
    </row>
  </sheetData>
  <hyperlinks>
    <hyperlink ref="A3" location="'PLA BLANCO KARDENAL'!A1" display="PLA BLANCO KARDENAL" xr:uid="{B0E0E269-9C44-4EFB-9F45-1BD83CF88994}"/>
    <hyperlink ref="A4" location="'PLA ROJO KARDENAL'!A1" display="PLA ROJO KARDENAL" xr:uid="{D908D7E6-8C56-480A-A33F-16C91C75327B}"/>
    <hyperlink ref="A5" location="'PLA NEGRO KARDENAL'!A1" display="PLA NEGRO KARDENAL" xr:uid="{BEE53847-01EA-4869-B114-9E024A5B08A0}"/>
    <hyperlink ref="A6" location="'PLA BEIGE KARDENAL'!A1" display="PLA SKIN BEIGE KARDENAL" xr:uid="{F9AF77DD-E844-4A06-8ED2-8B1B7B561F7D}"/>
    <hyperlink ref="A7" location="'PLA LILA KARDENAL'!A1" display="PLA LILA KARDENAL" xr:uid="{E68C1300-2927-4FF6-86C9-A4B3C052DE1F}"/>
    <hyperlink ref="A8" location="'PLA SILVER KARDENAL'!A1" display="PLA SILVER KARDENAL" xr:uid="{9DF6C677-C8B5-4E8F-A108-B7761D2A5BED}"/>
    <hyperlink ref="A9" location="'PLA VERDE MATTE'!A1" display="PLA VERDE MATTE SUNLU" xr:uid="{3A36CA9A-7316-4FEE-850F-E6E4BD68EF53}"/>
    <hyperlink ref="A10" location="'PLA AZUL MATTE SUNLU'!A1" display="PLA AZUL MATTE SUNLU" xr:uid="{3F2276F9-35B5-4B5E-923D-447B264DB275}"/>
    <hyperlink ref="A11" location="'PLA NARANJA MEXICOMAKERS'!A1" display="PLA NARANJA MEXICOMAKERS" xr:uid="{4D451067-33F6-4FAA-BBBB-C6E1F07D3ABD}"/>
    <hyperlink ref="A25" location="'NEGRO ROJO DORADO'!A1" display="NEGRO/ROJO/DORADO" xr:uid="{DEF13F92-9D85-4F61-A37F-CC2CACDD2D15}"/>
    <hyperlink ref="A26" location="'ROJO AZUL VERDE'!A1" display="ROJO/AZUL/VERDE" xr:uid="{4EF31DA3-A5A2-4EA2-A040-554B2D09FC7D}"/>
    <hyperlink ref="A27" location="'NEGRO AZUL MORADO'!A1" display="NEGRO/AZUL/MORADO" xr:uid="{2E35278E-68CA-45F2-9767-625606F7AB6A}"/>
    <hyperlink ref="A28" location="'NEGRO GOLD MORADO'!A1" display="NEGRO/GOLD/MORADO" xr:uid="{98D99FC9-4C6C-4DD1-A822-9CDD53AB8D6E}"/>
    <hyperlink ref="A35" location="SHORTCUTS!A1" display="SHORTCUTS" xr:uid="{1ACFFFF3-C7FE-4C93-BE85-AF90B097101F}"/>
    <hyperlink ref="A24" location="Hoja3!A1" display="ROJO/MORADO/DORADO" xr:uid="{41AC93C1-FD49-4EA4-9084-5ABC38A899E1}"/>
    <hyperlink ref="A30" location="Hoja6!A1" display="NARANJA/AZUL/VERDE" xr:uid="{23E1FDA8-ED14-4E9F-8BC6-136AA40741EF}"/>
    <hyperlink ref="A12" location="'Cafe Mexicomakers'!A1" display="PLA CAFE MEXICOMAKERS" xr:uid="{D6340EC5-9BCB-4305-87F9-B6023037761B}"/>
    <hyperlink ref="A13" location="'PLA AMARILLO MATTE SUNLU'!A1" display="PLA AMARILLO MATTE SUNLU" xr:uid="{DC677B7A-760E-4231-A050-D6037B074062}"/>
    <hyperlink ref="A14" location="'PLA+ NEGRO SUNLU'!A1" display="PLA+ SUNLU NEGRO" xr:uid="{0F882E75-D4EF-442D-AD1D-79D518DA7E4C}"/>
    <hyperlink ref="A16" location="Hoja8!A1" display="PLA ROSA MATTE SUNLU" xr:uid="{55679C68-4F57-42FD-AB9E-6AB48271467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C46F-D685-42B4-A3F9-B45927FC2FF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60DF-D257-4665-A617-9ACF8AB4D59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ED7B-EAF7-4D0E-BB9D-6ADD85EFBAD7}">
  <dimension ref="A1"/>
  <sheetViews>
    <sheetView workbookViewId="0"/>
  </sheetViews>
  <sheetFormatPr baseColWidth="10" defaultRowHeight="15" x14ac:dyDescent="0.25"/>
  <sheetData>
    <row r="1" spans="1:1" x14ac:dyDescent="0.25">
      <c r="A1" t="s">
        <v>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899C-93AD-4285-825B-8A65F0A99B47}">
  <dimension ref="A1:G25"/>
  <sheetViews>
    <sheetView workbookViewId="0">
      <selection activeCell="A29" sqref="A29"/>
    </sheetView>
  </sheetViews>
  <sheetFormatPr baseColWidth="10" defaultRowHeight="15" x14ac:dyDescent="0.25"/>
  <cols>
    <col min="1" max="1" width="17.7109375" bestFit="1" customWidth="1"/>
    <col min="4" max="4" width="12.42578125" bestFit="1" customWidth="1"/>
    <col min="5" max="5" width="12.42578125" customWidth="1"/>
    <col min="6" max="6" width="12.42578125" bestFit="1" customWidth="1"/>
    <col min="7" max="7" width="13.42578125" bestFit="1" customWidth="1"/>
  </cols>
  <sheetData>
    <row r="1" spans="1:7" x14ac:dyDescent="0.25">
      <c r="A1" t="s">
        <v>87</v>
      </c>
    </row>
    <row r="3" spans="1:7" x14ac:dyDescent="0.25">
      <c r="B3" t="s">
        <v>89</v>
      </c>
      <c r="C3" t="s">
        <v>90</v>
      </c>
      <c r="D3" t="s">
        <v>91</v>
      </c>
      <c r="E3" t="s">
        <v>91</v>
      </c>
      <c r="F3" t="s">
        <v>94</v>
      </c>
      <c r="G3" t="s">
        <v>93</v>
      </c>
    </row>
    <row r="4" spans="1:7" x14ac:dyDescent="0.25">
      <c r="D4" t="s">
        <v>90</v>
      </c>
      <c r="E4" t="s">
        <v>92</v>
      </c>
      <c r="F4" t="s">
        <v>95</v>
      </c>
    </row>
    <row r="8" spans="1:7" x14ac:dyDescent="0.25">
      <c r="A8" t="s">
        <v>88</v>
      </c>
      <c r="B8">
        <v>12.25</v>
      </c>
      <c r="C8" t="s">
        <v>65</v>
      </c>
      <c r="F8">
        <v>38.26</v>
      </c>
    </row>
    <row r="9" spans="1:7" x14ac:dyDescent="0.25">
      <c r="A9" t="s">
        <v>96</v>
      </c>
      <c r="B9">
        <v>4.12</v>
      </c>
      <c r="C9" t="s">
        <v>42</v>
      </c>
      <c r="F9">
        <v>16.149999999999999</v>
      </c>
    </row>
    <row r="10" spans="1:7" x14ac:dyDescent="0.25">
      <c r="A10" t="s">
        <v>165</v>
      </c>
      <c r="B10">
        <v>37</v>
      </c>
      <c r="C10" t="s">
        <v>107</v>
      </c>
    </row>
    <row r="11" spans="1:7" x14ac:dyDescent="0.25">
      <c r="A11" t="s">
        <v>166</v>
      </c>
      <c r="B11">
        <v>5</v>
      </c>
      <c r="C11" t="s">
        <v>107</v>
      </c>
    </row>
    <row r="12" spans="1:7" x14ac:dyDescent="0.25">
      <c r="A12" t="s">
        <v>167</v>
      </c>
      <c r="B12">
        <v>5</v>
      </c>
      <c r="C12" t="s">
        <v>107</v>
      </c>
    </row>
    <row r="13" spans="1:7" x14ac:dyDescent="0.25">
      <c r="A13" t="s">
        <v>168</v>
      </c>
      <c r="B13">
        <v>5</v>
      </c>
      <c r="C13" t="s">
        <v>107</v>
      </c>
    </row>
    <row r="14" spans="1:7" x14ac:dyDescent="0.25">
      <c r="A14" t="s">
        <v>148</v>
      </c>
      <c r="B14">
        <v>20.34</v>
      </c>
      <c r="C14" t="s">
        <v>107</v>
      </c>
    </row>
    <row r="15" spans="1:7" x14ac:dyDescent="0.25">
      <c r="A15" t="s">
        <v>171</v>
      </c>
      <c r="B15">
        <v>6.5</v>
      </c>
      <c r="C15" t="s">
        <v>172</v>
      </c>
      <c r="G15">
        <v>180</v>
      </c>
    </row>
    <row r="16" spans="1:7" x14ac:dyDescent="0.25">
      <c r="A16" t="s">
        <v>173</v>
      </c>
      <c r="B16">
        <v>6.5</v>
      </c>
      <c r="C16" t="s">
        <v>172</v>
      </c>
    </row>
    <row r="17" spans="1:7" x14ac:dyDescent="0.25">
      <c r="A17" t="s">
        <v>173</v>
      </c>
      <c r="B17">
        <v>6.5</v>
      </c>
      <c r="C17" t="s">
        <v>174</v>
      </c>
    </row>
    <row r="18" spans="1:7" x14ac:dyDescent="0.25">
      <c r="A18" t="s">
        <v>173</v>
      </c>
      <c r="B18">
        <v>6.5</v>
      </c>
      <c r="C18" t="s">
        <v>175</v>
      </c>
    </row>
    <row r="19" spans="1:7" x14ac:dyDescent="0.25">
      <c r="A19" t="s">
        <v>176</v>
      </c>
      <c r="G19">
        <v>385</v>
      </c>
    </row>
    <row r="20" spans="1:7" x14ac:dyDescent="0.25">
      <c r="A20" t="s">
        <v>185</v>
      </c>
      <c r="G20">
        <v>150</v>
      </c>
    </row>
    <row r="21" spans="1:7" x14ac:dyDescent="0.25">
      <c r="A21" t="s">
        <v>186</v>
      </c>
      <c r="G21">
        <v>100</v>
      </c>
    </row>
    <row r="22" spans="1:7" x14ac:dyDescent="0.25">
      <c r="A22" t="s">
        <v>187</v>
      </c>
      <c r="G22">
        <v>70</v>
      </c>
    </row>
    <row r="23" spans="1:7" x14ac:dyDescent="0.25">
      <c r="A23" t="s">
        <v>188</v>
      </c>
      <c r="G23">
        <v>70</v>
      </c>
    </row>
    <row r="24" spans="1:7" x14ac:dyDescent="0.25">
      <c r="A24" t="s">
        <v>189</v>
      </c>
      <c r="G24">
        <v>225</v>
      </c>
    </row>
    <row r="25" spans="1:7" x14ac:dyDescent="0.25">
      <c r="G25">
        <f>SUM(G21:G24)</f>
        <v>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ADDE-DD6F-4981-A336-D780D916A83F}">
  <dimension ref="A1:H6"/>
  <sheetViews>
    <sheetView workbookViewId="0">
      <selection activeCell="D6" sqref="D6"/>
    </sheetView>
  </sheetViews>
  <sheetFormatPr baseColWidth="10" defaultRowHeight="15" x14ac:dyDescent="0.25"/>
  <sheetData>
    <row r="1" spans="1:8" x14ac:dyDescent="0.25">
      <c r="A1" t="s">
        <v>323</v>
      </c>
    </row>
    <row r="2" spans="1:8" x14ac:dyDescent="0.25">
      <c r="A2" s="6" t="s">
        <v>304</v>
      </c>
    </row>
    <row r="4" spans="1:8" x14ac:dyDescent="0.25">
      <c r="B4" t="s">
        <v>11</v>
      </c>
      <c r="C4" t="s">
        <v>2</v>
      </c>
      <c r="D4" t="s">
        <v>5</v>
      </c>
      <c r="E4" t="s">
        <v>3</v>
      </c>
      <c r="F4" t="s">
        <v>4</v>
      </c>
      <c r="G4" t="s">
        <v>7</v>
      </c>
    </row>
    <row r="5" spans="1:8" x14ac:dyDescent="0.25">
      <c r="A5" t="s">
        <v>1</v>
      </c>
      <c r="C5">
        <v>250</v>
      </c>
      <c r="D5">
        <v>2.25</v>
      </c>
      <c r="E5" s="1">
        <v>46073</v>
      </c>
      <c r="F5" t="s">
        <v>324</v>
      </c>
      <c r="G5">
        <f>C5-D5</f>
        <v>247.75</v>
      </c>
      <c r="H5" t="s">
        <v>233</v>
      </c>
    </row>
    <row r="6" spans="1:8" x14ac:dyDescent="0.25">
      <c r="A6" s="2">
        <v>380</v>
      </c>
      <c r="B6" s="2"/>
      <c r="C6">
        <f>G5</f>
        <v>247.75</v>
      </c>
      <c r="D6">
        <v>9</v>
      </c>
      <c r="E6" s="1">
        <v>46048</v>
      </c>
      <c r="F6" t="s">
        <v>8</v>
      </c>
      <c r="G6">
        <f>C6-D6</f>
        <v>238.75</v>
      </c>
    </row>
  </sheetData>
  <hyperlinks>
    <hyperlink ref="A2" location="SHORTCUTS!A1" display="SHORTCUTS" xr:uid="{F17220A8-3E15-4939-8A85-9C07D6BEE6E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E19B-149C-4BA9-A726-D92D013CD573}">
  <dimension ref="A1:L98"/>
  <sheetViews>
    <sheetView workbookViewId="0">
      <selection activeCell="A2" sqref="A2"/>
    </sheetView>
  </sheetViews>
  <sheetFormatPr baseColWidth="10" defaultRowHeight="15" x14ac:dyDescent="0.25"/>
  <cols>
    <col min="6" max="6" width="24.5703125" bestFit="1" customWidth="1"/>
    <col min="10" max="11" width="19.5703125" customWidth="1"/>
  </cols>
  <sheetData>
    <row r="1" spans="1:12" x14ac:dyDescent="0.25">
      <c r="A1" t="s">
        <v>0</v>
      </c>
    </row>
    <row r="2" spans="1:12" x14ac:dyDescent="0.25">
      <c r="A2" s="6" t="s">
        <v>304</v>
      </c>
    </row>
    <row r="9" spans="1:12" x14ac:dyDescent="0.25">
      <c r="G9">
        <f t="shared" ref="G9:G36" si="0">C9-D9</f>
        <v>0</v>
      </c>
    </row>
    <row r="10" spans="1:12" x14ac:dyDescent="0.25">
      <c r="G10">
        <f t="shared" si="0"/>
        <v>0</v>
      </c>
    </row>
    <row r="11" spans="1:12" x14ac:dyDescent="0.25">
      <c r="A11" t="s">
        <v>10</v>
      </c>
      <c r="B11">
        <v>275</v>
      </c>
      <c r="C11">
        <v>1000</v>
      </c>
      <c r="D11">
        <v>8</v>
      </c>
      <c r="E11" s="1">
        <v>46049</v>
      </c>
      <c r="F11" t="s">
        <v>12</v>
      </c>
      <c r="G11">
        <f t="shared" si="0"/>
        <v>992</v>
      </c>
      <c r="J11" t="s">
        <v>16</v>
      </c>
      <c r="K11" t="s">
        <v>14</v>
      </c>
      <c r="L11" t="s">
        <v>15</v>
      </c>
    </row>
    <row r="12" spans="1:12" x14ac:dyDescent="0.25">
      <c r="C12">
        <f>G11</f>
        <v>992</v>
      </c>
      <c r="D12">
        <v>20.53</v>
      </c>
      <c r="E12" s="1">
        <v>46049</v>
      </c>
      <c r="F12" t="s">
        <v>13</v>
      </c>
      <c r="G12">
        <f t="shared" si="0"/>
        <v>971.47</v>
      </c>
      <c r="J12" t="s">
        <v>17</v>
      </c>
      <c r="K12" t="s">
        <v>18</v>
      </c>
      <c r="L12" t="s">
        <v>19</v>
      </c>
    </row>
    <row r="13" spans="1:12" x14ac:dyDescent="0.25">
      <c r="C13">
        <f>G12</f>
        <v>971.47</v>
      </c>
      <c r="D13">
        <v>15.46</v>
      </c>
      <c r="E13" s="3">
        <v>46049</v>
      </c>
      <c r="F13" t="s">
        <v>20</v>
      </c>
      <c r="G13">
        <f t="shared" si="0"/>
        <v>956.01</v>
      </c>
      <c r="J13" t="s">
        <v>21</v>
      </c>
      <c r="K13">
        <v>93</v>
      </c>
    </row>
    <row r="14" spans="1:12" x14ac:dyDescent="0.25">
      <c r="C14">
        <f>G13</f>
        <v>956.01</v>
      </c>
      <c r="D14">
        <v>14.78</v>
      </c>
      <c r="E14" s="1">
        <v>46049</v>
      </c>
      <c r="F14" t="s">
        <v>22</v>
      </c>
      <c r="G14">
        <f t="shared" si="0"/>
        <v>941.23</v>
      </c>
      <c r="J14" t="s">
        <v>26</v>
      </c>
      <c r="K14">
        <v>0.02</v>
      </c>
    </row>
    <row r="15" spans="1:12" x14ac:dyDescent="0.25">
      <c r="C15">
        <f t="shared" ref="C15:C78" si="1">G14</f>
        <v>941.23</v>
      </c>
      <c r="D15">
        <v>5</v>
      </c>
      <c r="E15" s="1">
        <v>46049</v>
      </c>
      <c r="F15" t="s">
        <v>23</v>
      </c>
      <c r="G15">
        <f t="shared" si="0"/>
        <v>936.23</v>
      </c>
      <c r="H15" t="s">
        <v>24</v>
      </c>
      <c r="J15" t="s">
        <v>28</v>
      </c>
      <c r="K15">
        <v>0.6</v>
      </c>
    </row>
    <row r="16" spans="1:12" x14ac:dyDescent="0.25">
      <c r="C16">
        <f t="shared" si="1"/>
        <v>936.23</v>
      </c>
      <c r="D16">
        <v>1.71</v>
      </c>
      <c r="E16" s="1">
        <v>46050</v>
      </c>
      <c r="F16" t="s">
        <v>25</v>
      </c>
      <c r="G16">
        <f t="shared" si="0"/>
        <v>934.52</v>
      </c>
      <c r="J16" t="s">
        <v>29</v>
      </c>
      <c r="K16" t="s">
        <v>30</v>
      </c>
    </row>
    <row r="17" spans="1:12" x14ac:dyDescent="0.25">
      <c r="C17">
        <f t="shared" si="1"/>
        <v>934.52</v>
      </c>
      <c r="D17">
        <v>0.57999999999999996</v>
      </c>
      <c r="E17" s="3">
        <v>46050</v>
      </c>
      <c r="F17" t="s">
        <v>27</v>
      </c>
      <c r="G17">
        <f t="shared" si="0"/>
        <v>933.93999999999994</v>
      </c>
      <c r="J17" t="s">
        <v>34</v>
      </c>
      <c r="K17" t="s">
        <v>35</v>
      </c>
    </row>
    <row r="18" spans="1:12" x14ac:dyDescent="0.25">
      <c r="C18">
        <f t="shared" si="1"/>
        <v>933.93999999999994</v>
      </c>
      <c r="D18">
        <v>10.71</v>
      </c>
      <c r="E18" s="3">
        <v>46050</v>
      </c>
      <c r="F18" t="s">
        <v>31</v>
      </c>
      <c r="G18">
        <f t="shared" si="0"/>
        <v>923.2299999999999</v>
      </c>
      <c r="J18" t="s">
        <v>38</v>
      </c>
      <c r="K18">
        <v>20</v>
      </c>
    </row>
    <row r="19" spans="1:12" x14ac:dyDescent="0.25">
      <c r="C19">
        <f t="shared" si="1"/>
        <v>923.2299999999999</v>
      </c>
      <c r="D19">
        <v>9.23</v>
      </c>
      <c r="E19" s="3">
        <v>46050</v>
      </c>
      <c r="F19" t="s">
        <v>32</v>
      </c>
      <c r="G19">
        <f t="shared" si="0"/>
        <v>913.99999999999989</v>
      </c>
    </row>
    <row r="20" spans="1:12" x14ac:dyDescent="0.25">
      <c r="C20">
        <f t="shared" si="1"/>
        <v>913.99999999999989</v>
      </c>
      <c r="D20">
        <v>17.96</v>
      </c>
      <c r="E20" s="3">
        <v>46050</v>
      </c>
      <c r="F20" t="s">
        <v>33</v>
      </c>
      <c r="G20">
        <f t="shared" si="0"/>
        <v>896.03999999999985</v>
      </c>
    </row>
    <row r="21" spans="1:12" x14ac:dyDescent="0.25">
      <c r="C21">
        <f t="shared" si="1"/>
        <v>896.03999999999985</v>
      </c>
      <c r="D21">
        <v>2</v>
      </c>
      <c r="E21" s="3">
        <v>46050</v>
      </c>
      <c r="F21" t="s">
        <v>36</v>
      </c>
      <c r="G21">
        <f t="shared" si="0"/>
        <v>894.03999999999985</v>
      </c>
    </row>
    <row r="22" spans="1:12" x14ac:dyDescent="0.25">
      <c r="C22">
        <f t="shared" si="1"/>
        <v>894.03999999999985</v>
      </c>
      <c r="D22">
        <v>3.95</v>
      </c>
      <c r="E22" s="3">
        <v>46050</v>
      </c>
      <c r="F22" t="s">
        <v>37</v>
      </c>
      <c r="G22">
        <f t="shared" si="0"/>
        <v>890.0899999999998</v>
      </c>
      <c r="J22" t="s">
        <v>223</v>
      </c>
      <c r="K22" t="s">
        <v>294</v>
      </c>
      <c r="L22">
        <f>0.79*2</f>
        <v>1.58</v>
      </c>
    </row>
    <row r="23" spans="1:12" x14ac:dyDescent="0.25">
      <c r="C23">
        <f t="shared" si="1"/>
        <v>890.0899999999998</v>
      </c>
      <c r="D23">
        <v>17.82</v>
      </c>
      <c r="F23" s="4" t="s">
        <v>39</v>
      </c>
      <c r="G23">
        <f t="shared" si="0"/>
        <v>872.26999999999975</v>
      </c>
    </row>
    <row r="24" spans="1:12" x14ac:dyDescent="0.25">
      <c r="C24">
        <f t="shared" si="1"/>
        <v>872.26999999999975</v>
      </c>
      <c r="D24">
        <v>70.930000000000007</v>
      </c>
      <c r="F24" t="s">
        <v>40</v>
      </c>
      <c r="G24">
        <f t="shared" si="0"/>
        <v>801.33999999999969</v>
      </c>
      <c r="H24" t="s">
        <v>41</v>
      </c>
      <c r="J24" t="s">
        <v>295</v>
      </c>
      <c r="K24" t="s">
        <v>296</v>
      </c>
    </row>
    <row r="25" spans="1:12" x14ac:dyDescent="0.25">
      <c r="C25">
        <f t="shared" si="1"/>
        <v>801.33999999999969</v>
      </c>
      <c r="D25">
        <v>15.75</v>
      </c>
      <c r="E25" s="3">
        <v>46052</v>
      </c>
      <c r="F25" t="s">
        <v>64</v>
      </c>
      <c r="G25">
        <f t="shared" si="0"/>
        <v>785.58999999999969</v>
      </c>
    </row>
    <row r="26" spans="1:12" x14ac:dyDescent="0.25">
      <c r="C26">
        <f t="shared" si="1"/>
        <v>785.58999999999969</v>
      </c>
      <c r="D26">
        <v>6.46</v>
      </c>
      <c r="E26" s="3">
        <v>46058</v>
      </c>
      <c r="F26" t="s">
        <v>160</v>
      </c>
      <c r="G26">
        <f t="shared" si="0"/>
        <v>779.12999999999965</v>
      </c>
      <c r="H26" t="s">
        <v>161</v>
      </c>
    </row>
    <row r="27" spans="1:12" x14ac:dyDescent="0.25">
      <c r="C27">
        <f t="shared" si="1"/>
        <v>779.12999999999965</v>
      </c>
      <c r="D27">
        <v>19.5</v>
      </c>
      <c r="E27" s="3">
        <v>46059</v>
      </c>
      <c r="F27" t="s">
        <v>179</v>
      </c>
      <c r="G27">
        <f t="shared" si="0"/>
        <v>759.62999999999965</v>
      </c>
      <c r="I27" t="s">
        <v>193</v>
      </c>
    </row>
    <row r="28" spans="1:12" x14ac:dyDescent="0.25">
      <c r="C28">
        <f t="shared" si="1"/>
        <v>759.62999999999965</v>
      </c>
      <c r="D28">
        <v>24</v>
      </c>
      <c r="F28" t="s">
        <v>180</v>
      </c>
      <c r="G28">
        <f t="shared" si="0"/>
        <v>735.62999999999965</v>
      </c>
      <c r="H28" t="s">
        <v>182</v>
      </c>
    </row>
    <row r="29" spans="1:12" x14ac:dyDescent="0.25">
      <c r="C29">
        <f t="shared" si="1"/>
        <v>735.62999999999965</v>
      </c>
      <c r="D29">
        <v>10.74</v>
      </c>
      <c r="F29" t="s">
        <v>181</v>
      </c>
      <c r="G29">
        <f t="shared" si="0"/>
        <v>724.88999999999965</v>
      </c>
      <c r="H29" t="s">
        <v>108</v>
      </c>
      <c r="I29" t="s">
        <v>194</v>
      </c>
    </row>
    <row r="30" spans="1:12" x14ac:dyDescent="0.25">
      <c r="C30">
        <f t="shared" si="1"/>
        <v>724.88999999999965</v>
      </c>
      <c r="D30">
        <v>10.52</v>
      </c>
      <c r="F30" t="s">
        <v>184</v>
      </c>
      <c r="G30">
        <f t="shared" si="0"/>
        <v>714.36999999999966</v>
      </c>
      <c r="I30" t="s">
        <v>195</v>
      </c>
    </row>
    <row r="31" spans="1:12" x14ac:dyDescent="0.25">
      <c r="A31" t="s">
        <v>42</v>
      </c>
      <c r="C31">
        <f t="shared" si="1"/>
        <v>714.36999999999966</v>
      </c>
      <c r="D31">
        <v>24</v>
      </c>
      <c r="F31" t="s">
        <v>180</v>
      </c>
      <c r="G31">
        <f t="shared" si="0"/>
        <v>690.36999999999966</v>
      </c>
      <c r="I31" t="s">
        <v>196</v>
      </c>
    </row>
    <row r="32" spans="1:12" x14ac:dyDescent="0.25">
      <c r="C32">
        <f t="shared" si="1"/>
        <v>690.36999999999966</v>
      </c>
      <c r="D32">
        <v>11.54</v>
      </c>
      <c r="F32" t="s">
        <v>209</v>
      </c>
      <c r="G32">
        <f t="shared" si="0"/>
        <v>678.8299999999997</v>
      </c>
      <c r="H32" t="s">
        <v>212</v>
      </c>
    </row>
    <row r="33" spans="3:9" x14ac:dyDescent="0.25">
      <c r="C33">
        <f t="shared" si="1"/>
        <v>678.8299999999997</v>
      </c>
      <c r="D33">
        <v>2.82</v>
      </c>
      <c r="E33" s="3">
        <v>46064</v>
      </c>
      <c r="F33" t="s">
        <v>222</v>
      </c>
      <c r="G33">
        <f t="shared" si="0"/>
        <v>676.00999999999965</v>
      </c>
      <c r="H33">
        <v>16</v>
      </c>
    </row>
    <row r="34" spans="3:9" x14ac:dyDescent="0.25">
      <c r="C34">
        <f t="shared" si="1"/>
        <v>676.00999999999965</v>
      </c>
      <c r="D34">
        <v>1</v>
      </c>
      <c r="F34" t="s">
        <v>223</v>
      </c>
      <c r="G34">
        <f t="shared" si="0"/>
        <v>675.00999999999965</v>
      </c>
      <c r="H34" t="s">
        <v>224</v>
      </c>
    </row>
    <row r="35" spans="3:9" x14ac:dyDescent="0.25">
      <c r="C35">
        <f t="shared" si="1"/>
        <v>675.00999999999965</v>
      </c>
      <c r="D35">
        <v>42.32</v>
      </c>
      <c r="E35" s="3">
        <v>46065</v>
      </c>
      <c r="F35" t="s">
        <v>236</v>
      </c>
      <c r="G35">
        <f t="shared" si="0"/>
        <v>632.6899999999996</v>
      </c>
      <c r="H35" t="s">
        <v>237</v>
      </c>
      <c r="I35" t="s">
        <v>238</v>
      </c>
    </row>
    <row r="36" spans="3:9" x14ac:dyDescent="0.25">
      <c r="C36">
        <f t="shared" si="1"/>
        <v>632.6899999999996</v>
      </c>
      <c r="D36">
        <v>42.19</v>
      </c>
      <c r="F36" t="s">
        <v>239</v>
      </c>
      <c r="G36">
        <f t="shared" si="0"/>
        <v>590.49999999999955</v>
      </c>
      <c r="I36" t="s">
        <v>240</v>
      </c>
    </row>
    <row r="37" spans="3:9" x14ac:dyDescent="0.25">
      <c r="C37">
        <f>G36</f>
        <v>590.49999999999955</v>
      </c>
      <c r="D37">
        <v>21.26</v>
      </c>
      <c r="F37" t="s">
        <v>241</v>
      </c>
      <c r="G37">
        <f t="shared" ref="G37:G98" si="2">C37-D37</f>
        <v>569.23999999999955</v>
      </c>
    </row>
    <row r="38" spans="3:9" x14ac:dyDescent="0.25">
      <c r="C38">
        <f>G37</f>
        <v>569.23999999999955</v>
      </c>
      <c r="D38">
        <v>20.68</v>
      </c>
      <c r="F38" t="s">
        <v>242</v>
      </c>
      <c r="G38">
        <f t="shared" si="2"/>
        <v>548.5599999999996</v>
      </c>
      <c r="H38" t="s">
        <v>243</v>
      </c>
    </row>
    <row r="39" spans="3:9" x14ac:dyDescent="0.25">
      <c r="C39">
        <f t="shared" si="1"/>
        <v>548.5599999999996</v>
      </c>
      <c r="D39">
        <v>3.3</v>
      </c>
      <c r="F39" t="s">
        <v>244</v>
      </c>
      <c r="G39">
        <f t="shared" si="2"/>
        <v>545.25999999999965</v>
      </c>
      <c r="H39" t="s">
        <v>233</v>
      </c>
    </row>
    <row r="40" spans="3:9" x14ac:dyDescent="0.25">
      <c r="C40">
        <f t="shared" si="1"/>
        <v>545.25999999999965</v>
      </c>
      <c r="D40">
        <v>1.58</v>
      </c>
      <c r="E40" s="3">
        <v>46071</v>
      </c>
      <c r="F40" t="s">
        <v>297</v>
      </c>
      <c r="G40">
        <f t="shared" si="2"/>
        <v>543.67999999999961</v>
      </c>
      <c r="H40" t="s">
        <v>206</v>
      </c>
    </row>
    <row r="41" spans="3:9" x14ac:dyDescent="0.25">
      <c r="C41">
        <f t="shared" si="1"/>
        <v>543.67999999999961</v>
      </c>
      <c r="D41">
        <v>1.58</v>
      </c>
      <c r="F41" t="s">
        <v>299</v>
      </c>
      <c r="G41">
        <f t="shared" si="2"/>
        <v>542.09999999999957</v>
      </c>
      <c r="H41">
        <v>13</v>
      </c>
    </row>
    <row r="42" spans="3:9" x14ac:dyDescent="0.25">
      <c r="C42">
        <f t="shared" si="1"/>
        <v>542.09999999999957</v>
      </c>
      <c r="D42">
        <v>35.11</v>
      </c>
      <c r="E42" s="3">
        <v>46073</v>
      </c>
      <c r="F42" t="s">
        <v>319</v>
      </c>
      <c r="G42">
        <f t="shared" si="2"/>
        <v>506.98999999999955</v>
      </c>
      <c r="H42" t="s">
        <v>320</v>
      </c>
      <c r="I42" t="s">
        <v>108</v>
      </c>
    </row>
    <row r="43" spans="3:9" x14ac:dyDescent="0.25">
      <c r="C43">
        <f t="shared" si="1"/>
        <v>506.98999999999955</v>
      </c>
      <c r="D43">
        <v>17.41</v>
      </c>
      <c r="F43" t="s">
        <v>321</v>
      </c>
      <c r="G43">
        <f t="shared" si="2"/>
        <v>489.57999999999953</v>
      </c>
      <c r="H43" t="s">
        <v>322</v>
      </c>
    </row>
    <row r="44" spans="3:9" x14ac:dyDescent="0.25">
      <c r="C44">
        <f t="shared" si="1"/>
        <v>489.57999999999953</v>
      </c>
      <c r="D44">
        <v>0.22</v>
      </c>
      <c r="E44" s="3">
        <v>46077</v>
      </c>
      <c r="F44" t="s">
        <v>350</v>
      </c>
      <c r="G44">
        <f t="shared" si="2"/>
        <v>489.3599999999995</v>
      </c>
      <c r="H44" t="s">
        <v>351</v>
      </c>
    </row>
    <row r="45" spans="3:9" x14ac:dyDescent="0.25">
      <c r="C45">
        <f t="shared" si="1"/>
        <v>489.3599999999995</v>
      </c>
      <c r="D45">
        <v>0.2</v>
      </c>
      <c r="F45" t="s">
        <v>352</v>
      </c>
      <c r="G45">
        <f t="shared" si="2"/>
        <v>489.15999999999951</v>
      </c>
      <c r="H45">
        <v>4</v>
      </c>
    </row>
    <row r="46" spans="3:9" x14ac:dyDescent="0.25">
      <c r="C46">
        <f t="shared" si="1"/>
        <v>489.15999999999951</v>
      </c>
      <c r="D46">
        <v>62</v>
      </c>
      <c r="E46" s="3">
        <v>46087</v>
      </c>
      <c r="F46" t="s">
        <v>372</v>
      </c>
      <c r="G46">
        <f t="shared" si="2"/>
        <v>427.15999999999951</v>
      </c>
      <c r="H46" t="s">
        <v>357</v>
      </c>
      <c r="I46" t="s">
        <v>108</v>
      </c>
    </row>
    <row r="47" spans="3:9" x14ac:dyDescent="0.25">
      <c r="C47">
        <f t="shared" si="1"/>
        <v>427.15999999999951</v>
      </c>
      <c r="D47">
        <v>1.1599999999999999</v>
      </c>
      <c r="F47" t="s">
        <v>373</v>
      </c>
      <c r="G47">
        <f t="shared" si="2"/>
        <v>425.99999999999949</v>
      </c>
    </row>
    <row r="48" spans="3:9" x14ac:dyDescent="0.25">
      <c r="C48">
        <f t="shared" si="1"/>
        <v>425.99999999999949</v>
      </c>
      <c r="D48">
        <v>1.52</v>
      </c>
      <c r="E48" s="3">
        <v>46088</v>
      </c>
      <c r="F48" t="s">
        <v>374</v>
      </c>
      <c r="G48">
        <f t="shared" si="2"/>
        <v>424.47999999999951</v>
      </c>
    </row>
    <row r="49" spans="3:8" x14ac:dyDescent="0.25">
      <c r="C49">
        <f t="shared" si="1"/>
        <v>424.47999999999951</v>
      </c>
      <c r="D49">
        <v>22.45</v>
      </c>
      <c r="F49" t="s">
        <v>375</v>
      </c>
      <c r="G49">
        <f t="shared" si="2"/>
        <v>402.02999999999952</v>
      </c>
      <c r="H49" t="s">
        <v>376</v>
      </c>
    </row>
    <row r="50" spans="3:8" x14ac:dyDescent="0.25">
      <c r="C50">
        <f t="shared" si="1"/>
        <v>402.02999999999952</v>
      </c>
      <c r="D50">
        <v>25.52</v>
      </c>
      <c r="E50" s="3">
        <v>46109</v>
      </c>
      <c r="F50" t="s">
        <v>407</v>
      </c>
      <c r="G50">
        <f t="shared" si="2"/>
        <v>376.50999999999954</v>
      </c>
      <c r="H50" t="s">
        <v>408</v>
      </c>
    </row>
    <row r="51" spans="3:8" x14ac:dyDescent="0.25">
      <c r="C51">
        <f t="shared" si="1"/>
        <v>376.50999999999954</v>
      </c>
      <c r="D51">
        <v>1.0900000000000001</v>
      </c>
      <c r="E51" s="3">
        <v>46114</v>
      </c>
      <c r="F51" t="s">
        <v>373</v>
      </c>
      <c r="G51">
        <f t="shared" si="2"/>
        <v>375.41999999999956</v>
      </c>
    </row>
    <row r="52" spans="3:8" x14ac:dyDescent="0.25">
      <c r="C52">
        <f t="shared" si="1"/>
        <v>375.41999999999956</v>
      </c>
      <c r="D52">
        <v>1.0900000000000001</v>
      </c>
      <c r="F52" t="s">
        <v>409</v>
      </c>
      <c r="G52">
        <f t="shared" si="2"/>
        <v>374.32999999999959</v>
      </c>
    </row>
    <row r="53" spans="3:8" x14ac:dyDescent="0.25">
      <c r="C53">
        <f t="shared" si="1"/>
        <v>374.32999999999959</v>
      </c>
      <c r="D53">
        <v>1.0900000000000001</v>
      </c>
      <c r="G53">
        <f t="shared" si="2"/>
        <v>373.23999999999961</v>
      </c>
    </row>
    <row r="54" spans="3:8" x14ac:dyDescent="0.25">
      <c r="C54">
        <f t="shared" si="1"/>
        <v>373.23999999999961</v>
      </c>
      <c r="D54">
        <v>27</v>
      </c>
      <c r="F54" t="s">
        <v>410</v>
      </c>
      <c r="G54">
        <f t="shared" si="2"/>
        <v>346.23999999999961</v>
      </c>
      <c r="H54" t="s">
        <v>390</v>
      </c>
    </row>
    <row r="55" spans="3:8" x14ac:dyDescent="0.25">
      <c r="C55">
        <f t="shared" si="1"/>
        <v>346.23999999999961</v>
      </c>
      <c r="D55">
        <v>5.28</v>
      </c>
      <c r="E55" s="3">
        <v>46125</v>
      </c>
      <c r="F55" t="s">
        <v>420</v>
      </c>
      <c r="G55">
        <f t="shared" si="2"/>
        <v>340.95999999999964</v>
      </c>
      <c r="H55" t="s">
        <v>378</v>
      </c>
    </row>
    <row r="56" spans="3:8" x14ac:dyDescent="0.25">
      <c r="C56">
        <f t="shared" si="1"/>
        <v>340.95999999999964</v>
      </c>
      <c r="D56">
        <v>1</v>
      </c>
      <c r="E56" s="3">
        <v>46130</v>
      </c>
      <c r="F56" t="s">
        <v>434</v>
      </c>
      <c r="G56">
        <f t="shared" si="2"/>
        <v>339.95999999999964</v>
      </c>
      <c r="H56" t="s">
        <v>217</v>
      </c>
    </row>
    <row r="57" spans="3:8" x14ac:dyDescent="0.25">
      <c r="C57">
        <f t="shared" si="1"/>
        <v>339.95999999999964</v>
      </c>
      <c r="D57">
        <v>18.579999999999998</v>
      </c>
      <c r="E57" s="3">
        <v>46135</v>
      </c>
      <c r="F57" t="s">
        <v>422</v>
      </c>
      <c r="G57">
        <f t="shared" si="2"/>
        <v>321.37999999999965</v>
      </c>
      <c r="H57" t="s">
        <v>423</v>
      </c>
    </row>
    <row r="58" spans="3:8" x14ac:dyDescent="0.25">
      <c r="C58">
        <f t="shared" si="1"/>
        <v>321.37999999999965</v>
      </c>
      <c r="D58">
        <v>6.81</v>
      </c>
      <c r="E58" s="3">
        <v>46136</v>
      </c>
      <c r="F58" t="s">
        <v>443</v>
      </c>
      <c r="G58">
        <f t="shared" si="2"/>
        <v>314.56999999999965</v>
      </c>
      <c r="H58" t="s">
        <v>444</v>
      </c>
    </row>
    <row r="59" spans="3:8" x14ac:dyDescent="0.25">
      <c r="C59">
        <f t="shared" si="1"/>
        <v>314.56999999999965</v>
      </c>
      <c r="D59">
        <v>4.88</v>
      </c>
      <c r="E59" s="3">
        <v>46148</v>
      </c>
      <c r="F59" t="s">
        <v>494</v>
      </c>
      <c r="G59">
        <f t="shared" si="2"/>
        <v>309.68999999999966</v>
      </c>
      <c r="H59" t="s">
        <v>495</v>
      </c>
    </row>
    <row r="60" spans="3:8" x14ac:dyDescent="0.25">
      <c r="C60">
        <f t="shared" si="1"/>
        <v>309.68999999999966</v>
      </c>
      <c r="D60">
        <v>2.5499999999999998</v>
      </c>
      <c r="E60" s="3">
        <v>46151</v>
      </c>
      <c r="F60" t="s">
        <v>496</v>
      </c>
      <c r="G60">
        <f t="shared" si="2"/>
        <v>307.13999999999965</v>
      </c>
      <c r="H60" t="s">
        <v>378</v>
      </c>
    </row>
    <row r="61" spans="3:8" x14ac:dyDescent="0.25">
      <c r="C61">
        <f t="shared" si="1"/>
        <v>307.13999999999965</v>
      </c>
      <c r="D61">
        <v>1.29</v>
      </c>
      <c r="F61" t="s">
        <v>497</v>
      </c>
      <c r="G61">
        <f t="shared" si="2"/>
        <v>305.84999999999962</v>
      </c>
    </row>
    <row r="62" spans="3:8" x14ac:dyDescent="0.25">
      <c r="C62">
        <f t="shared" si="1"/>
        <v>305.84999999999962</v>
      </c>
      <c r="D62">
        <v>1.29</v>
      </c>
      <c r="F62" t="s">
        <v>498</v>
      </c>
      <c r="G62">
        <f t="shared" si="2"/>
        <v>304.5599999999996</v>
      </c>
    </row>
    <row r="63" spans="3:8" x14ac:dyDescent="0.25">
      <c r="C63">
        <f t="shared" si="1"/>
        <v>304.5599999999996</v>
      </c>
      <c r="D63">
        <v>2.41</v>
      </c>
      <c r="F63" t="s">
        <v>499</v>
      </c>
      <c r="G63">
        <f t="shared" si="2"/>
        <v>302.14999999999958</v>
      </c>
    </row>
    <row r="64" spans="3:8" x14ac:dyDescent="0.25">
      <c r="C64">
        <f t="shared" si="1"/>
        <v>302.14999999999958</v>
      </c>
      <c r="D64">
        <v>2.4300000000000002</v>
      </c>
      <c r="F64" t="s">
        <v>500</v>
      </c>
      <c r="G64">
        <f t="shared" si="2"/>
        <v>299.71999999999957</v>
      </c>
    </row>
    <row r="65" spans="3:8" x14ac:dyDescent="0.25">
      <c r="C65">
        <f t="shared" si="1"/>
        <v>299.71999999999957</v>
      </c>
      <c r="D65">
        <v>71.84</v>
      </c>
      <c r="E65" s="3">
        <v>46153</v>
      </c>
      <c r="F65" t="s">
        <v>505</v>
      </c>
      <c r="G65">
        <f t="shared" si="2"/>
        <v>227.87999999999957</v>
      </c>
      <c r="H65" t="s">
        <v>506</v>
      </c>
    </row>
    <row r="66" spans="3:8" x14ac:dyDescent="0.25">
      <c r="C66">
        <f t="shared" si="1"/>
        <v>227.87999999999957</v>
      </c>
      <c r="D66">
        <v>0.75</v>
      </c>
      <c r="E66" s="3">
        <v>46154</v>
      </c>
      <c r="F66" t="s">
        <v>507</v>
      </c>
      <c r="G66">
        <f t="shared" si="2"/>
        <v>227.12999999999957</v>
      </c>
      <c r="H66">
        <v>15</v>
      </c>
    </row>
    <row r="67" spans="3:8" x14ac:dyDescent="0.25">
      <c r="C67">
        <f t="shared" si="1"/>
        <v>227.12999999999957</v>
      </c>
      <c r="D67">
        <v>13.79</v>
      </c>
      <c r="F67" t="s">
        <v>515</v>
      </c>
      <c r="G67">
        <f t="shared" si="2"/>
        <v>213.33999999999958</v>
      </c>
      <c r="H67" t="s">
        <v>332</v>
      </c>
    </row>
    <row r="68" spans="3:8" x14ac:dyDescent="0.25">
      <c r="C68">
        <f t="shared" si="1"/>
        <v>213.33999999999958</v>
      </c>
      <c r="D68">
        <v>11.63</v>
      </c>
      <c r="E68" s="3">
        <v>46156</v>
      </c>
      <c r="F68" t="s">
        <v>516</v>
      </c>
      <c r="G68">
        <f t="shared" si="2"/>
        <v>201.70999999999958</v>
      </c>
    </row>
    <row r="69" spans="3:8" x14ac:dyDescent="0.25">
      <c r="C69">
        <f t="shared" si="1"/>
        <v>201.70999999999958</v>
      </c>
      <c r="D69">
        <v>9.4600000000000009</v>
      </c>
      <c r="F69" t="s">
        <v>520</v>
      </c>
      <c r="G69">
        <f t="shared" si="2"/>
        <v>192.24999999999957</v>
      </c>
      <c r="H69" t="s">
        <v>357</v>
      </c>
    </row>
    <row r="70" spans="3:8" x14ac:dyDescent="0.25">
      <c r="C70">
        <f t="shared" si="1"/>
        <v>192.24999999999957</v>
      </c>
      <c r="D70">
        <v>9.44</v>
      </c>
      <c r="E70" s="3">
        <v>46157</v>
      </c>
      <c r="F70" t="s">
        <v>521</v>
      </c>
      <c r="G70">
        <f t="shared" si="2"/>
        <v>182.80999999999958</v>
      </c>
      <c r="H70" t="s">
        <v>357</v>
      </c>
    </row>
    <row r="71" spans="3:8" x14ac:dyDescent="0.25">
      <c r="C71">
        <f t="shared" si="1"/>
        <v>182.80999999999958</v>
      </c>
      <c r="D71">
        <v>2.96</v>
      </c>
      <c r="F71" t="s">
        <v>523</v>
      </c>
      <c r="G71">
        <f t="shared" si="2"/>
        <v>179.84999999999957</v>
      </c>
      <c r="H71" t="s">
        <v>378</v>
      </c>
    </row>
    <row r="72" spans="3:8" x14ac:dyDescent="0.25">
      <c r="C72">
        <f t="shared" si="1"/>
        <v>179.84999999999957</v>
      </c>
      <c r="D72">
        <v>2.2000000000000002</v>
      </c>
      <c r="E72" s="3">
        <v>46158</v>
      </c>
      <c r="F72" t="s">
        <v>525</v>
      </c>
      <c r="G72">
        <f t="shared" si="2"/>
        <v>177.64999999999958</v>
      </c>
      <c r="H72">
        <v>50</v>
      </c>
    </row>
    <row r="73" spans="3:8" x14ac:dyDescent="0.25">
      <c r="C73">
        <f t="shared" si="1"/>
        <v>177.64999999999958</v>
      </c>
      <c r="D73">
        <v>1.37</v>
      </c>
      <c r="F73" t="s">
        <v>529</v>
      </c>
      <c r="G73">
        <f t="shared" si="2"/>
        <v>176.27999999999957</v>
      </c>
      <c r="H73" t="s">
        <v>530</v>
      </c>
    </row>
    <row r="74" spans="3:8" x14ac:dyDescent="0.25">
      <c r="C74">
        <f t="shared" si="1"/>
        <v>176.27999999999957</v>
      </c>
      <c r="D74">
        <v>17.93</v>
      </c>
      <c r="E74" s="3">
        <v>46161</v>
      </c>
      <c r="F74" t="s">
        <v>545</v>
      </c>
      <c r="G74">
        <f t="shared" si="2"/>
        <v>158.34999999999957</v>
      </c>
      <c r="H74" t="s">
        <v>546</v>
      </c>
    </row>
    <row r="75" spans="3:8" x14ac:dyDescent="0.25">
      <c r="C75">
        <f t="shared" si="1"/>
        <v>158.34999999999957</v>
      </c>
      <c r="D75">
        <v>15.86</v>
      </c>
      <c r="E75" s="3">
        <v>46163</v>
      </c>
      <c r="F75" t="s">
        <v>548</v>
      </c>
      <c r="G75">
        <f t="shared" si="2"/>
        <v>142.48999999999955</v>
      </c>
    </row>
    <row r="76" spans="3:8" x14ac:dyDescent="0.25">
      <c r="C76">
        <f t="shared" si="1"/>
        <v>142.48999999999955</v>
      </c>
      <c r="D76">
        <v>6.16</v>
      </c>
      <c r="F76" t="s">
        <v>549</v>
      </c>
      <c r="G76">
        <f t="shared" si="2"/>
        <v>136.32999999999956</v>
      </c>
    </row>
    <row r="77" spans="3:8" x14ac:dyDescent="0.25">
      <c r="C77">
        <f t="shared" si="1"/>
        <v>136.32999999999956</v>
      </c>
      <c r="D77">
        <v>2.91</v>
      </c>
      <c r="F77" t="s">
        <v>550</v>
      </c>
      <c r="G77">
        <f t="shared" si="2"/>
        <v>133.41999999999956</v>
      </c>
    </row>
    <row r="78" spans="3:8" x14ac:dyDescent="0.25">
      <c r="C78">
        <f t="shared" si="1"/>
        <v>133.41999999999956</v>
      </c>
      <c r="D78">
        <v>2.91</v>
      </c>
      <c r="F78" t="s">
        <v>550</v>
      </c>
      <c r="G78">
        <f t="shared" si="2"/>
        <v>130.50999999999956</v>
      </c>
    </row>
    <row r="79" spans="3:8" x14ac:dyDescent="0.25">
      <c r="C79">
        <f t="shared" ref="C79:C98" si="3">G78</f>
        <v>130.50999999999956</v>
      </c>
      <c r="D79">
        <v>0.41</v>
      </c>
      <c r="F79" t="s">
        <v>551</v>
      </c>
      <c r="G79">
        <f t="shared" si="2"/>
        <v>130.09999999999957</v>
      </c>
    </row>
    <row r="80" spans="3:8" x14ac:dyDescent="0.25">
      <c r="C80">
        <f t="shared" si="3"/>
        <v>130.09999999999957</v>
      </c>
      <c r="D80">
        <v>0.57999999999999996</v>
      </c>
      <c r="F80" t="s">
        <v>552</v>
      </c>
      <c r="G80">
        <f t="shared" si="2"/>
        <v>129.51999999999956</v>
      </c>
    </row>
    <row r="81" spans="3:7" x14ac:dyDescent="0.25">
      <c r="C81">
        <f t="shared" si="3"/>
        <v>129.51999999999956</v>
      </c>
      <c r="G81">
        <f t="shared" si="2"/>
        <v>129.51999999999956</v>
      </c>
    </row>
    <row r="82" spans="3:7" x14ac:dyDescent="0.25">
      <c r="C82">
        <f t="shared" si="3"/>
        <v>129.51999999999956</v>
      </c>
      <c r="G82">
        <f t="shared" si="2"/>
        <v>129.51999999999956</v>
      </c>
    </row>
    <row r="83" spans="3:7" x14ac:dyDescent="0.25">
      <c r="C83">
        <f t="shared" si="3"/>
        <v>129.51999999999956</v>
      </c>
      <c r="G83">
        <f t="shared" si="2"/>
        <v>129.51999999999956</v>
      </c>
    </row>
    <row r="84" spans="3:7" x14ac:dyDescent="0.25">
      <c r="C84">
        <f t="shared" si="3"/>
        <v>129.51999999999956</v>
      </c>
      <c r="G84">
        <f t="shared" si="2"/>
        <v>129.51999999999956</v>
      </c>
    </row>
    <row r="85" spans="3:7" x14ac:dyDescent="0.25">
      <c r="C85">
        <f t="shared" si="3"/>
        <v>129.51999999999956</v>
      </c>
      <c r="G85">
        <f t="shared" si="2"/>
        <v>129.51999999999956</v>
      </c>
    </row>
    <row r="86" spans="3:7" x14ac:dyDescent="0.25">
      <c r="C86">
        <f t="shared" si="3"/>
        <v>129.51999999999956</v>
      </c>
      <c r="G86">
        <f t="shared" si="2"/>
        <v>129.51999999999956</v>
      </c>
    </row>
    <row r="87" spans="3:7" x14ac:dyDescent="0.25">
      <c r="C87">
        <f t="shared" si="3"/>
        <v>129.51999999999956</v>
      </c>
      <c r="G87">
        <f t="shared" si="2"/>
        <v>129.51999999999956</v>
      </c>
    </row>
    <row r="88" spans="3:7" x14ac:dyDescent="0.25">
      <c r="C88">
        <f t="shared" si="3"/>
        <v>129.51999999999956</v>
      </c>
      <c r="G88">
        <f t="shared" si="2"/>
        <v>129.51999999999956</v>
      </c>
    </row>
    <row r="89" spans="3:7" x14ac:dyDescent="0.25">
      <c r="C89">
        <f t="shared" si="3"/>
        <v>129.51999999999956</v>
      </c>
      <c r="G89">
        <f t="shared" si="2"/>
        <v>129.51999999999956</v>
      </c>
    </row>
    <row r="90" spans="3:7" x14ac:dyDescent="0.25">
      <c r="C90">
        <f t="shared" si="3"/>
        <v>129.51999999999956</v>
      </c>
      <c r="G90">
        <f t="shared" si="2"/>
        <v>129.51999999999956</v>
      </c>
    </row>
    <row r="91" spans="3:7" x14ac:dyDescent="0.25">
      <c r="C91">
        <f t="shared" si="3"/>
        <v>129.51999999999956</v>
      </c>
      <c r="G91">
        <f t="shared" si="2"/>
        <v>129.51999999999956</v>
      </c>
    </row>
    <row r="92" spans="3:7" x14ac:dyDescent="0.25">
      <c r="C92">
        <f t="shared" si="3"/>
        <v>129.51999999999956</v>
      </c>
      <c r="G92">
        <f t="shared" si="2"/>
        <v>129.51999999999956</v>
      </c>
    </row>
    <row r="93" spans="3:7" x14ac:dyDescent="0.25">
      <c r="C93">
        <f t="shared" si="3"/>
        <v>129.51999999999956</v>
      </c>
      <c r="G93">
        <f t="shared" si="2"/>
        <v>129.51999999999956</v>
      </c>
    </row>
    <row r="94" spans="3:7" x14ac:dyDescent="0.25">
      <c r="C94">
        <f t="shared" si="3"/>
        <v>129.51999999999956</v>
      </c>
      <c r="G94">
        <f t="shared" si="2"/>
        <v>129.51999999999956</v>
      </c>
    </row>
    <row r="95" spans="3:7" x14ac:dyDescent="0.25">
      <c r="C95">
        <f t="shared" si="3"/>
        <v>129.51999999999956</v>
      </c>
      <c r="G95">
        <f t="shared" si="2"/>
        <v>129.51999999999956</v>
      </c>
    </row>
    <row r="96" spans="3:7" x14ac:dyDescent="0.25">
      <c r="C96">
        <f t="shared" si="3"/>
        <v>129.51999999999956</v>
      </c>
      <c r="G96">
        <f t="shared" si="2"/>
        <v>129.51999999999956</v>
      </c>
    </row>
    <row r="97" spans="3:7" x14ac:dyDescent="0.25">
      <c r="C97">
        <f t="shared" si="3"/>
        <v>129.51999999999956</v>
      </c>
      <c r="G97">
        <f t="shared" si="2"/>
        <v>129.51999999999956</v>
      </c>
    </row>
    <row r="98" spans="3:7" x14ac:dyDescent="0.25">
      <c r="C98">
        <f t="shared" si="3"/>
        <v>129.51999999999956</v>
      </c>
      <c r="G98">
        <f t="shared" si="2"/>
        <v>129.51999999999956</v>
      </c>
    </row>
  </sheetData>
  <hyperlinks>
    <hyperlink ref="A2" location="SHORTCUTS!A1" display="SHORTCUTS" xr:uid="{B87B8735-FA89-4A92-8180-EB0B7501969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5F83-061B-4510-B005-959849426E8F}">
  <dimension ref="A1:H25"/>
  <sheetViews>
    <sheetView workbookViewId="0">
      <selection sqref="A1:H3"/>
    </sheetView>
  </sheetViews>
  <sheetFormatPr baseColWidth="10" defaultRowHeight="15" x14ac:dyDescent="0.25"/>
  <sheetData>
    <row r="1" spans="1:8" x14ac:dyDescent="0.25">
      <c r="B1" t="s">
        <v>11</v>
      </c>
      <c r="C1" t="s">
        <v>2</v>
      </c>
      <c r="D1" t="s">
        <v>5</v>
      </c>
      <c r="E1" t="s">
        <v>3</v>
      </c>
      <c r="F1" t="s">
        <v>4</v>
      </c>
      <c r="G1" t="s">
        <v>7</v>
      </c>
    </row>
    <row r="2" spans="1:8" x14ac:dyDescent="0.25">
      <c r="A2" t="s">
        <v>1</v>
      </c>
      <c r="C2">
        <v>250</v>
      </c>
      <c r="D2">
        <v>19.850000000000001</v>
      </c>
      <c r="E2" s="1">
        <v>46047</v>
      </c>
      <c r="F2" t="s">
        <v>6</v>
      </c>
      <c r="G2">
        <f t="shared" ref="G2:G7" si="0">C2-D2</f>
        <v>230.15</v>
      </c>
    </row>
    <row r="3" spans="1:8" x14ac:dyDescent="0.25">
      <c r="A3" s="2">
        <v>380</v>
      </c>
      <c r="B3" s="2"/>
      <c r="C3">
        <f>G2</f>
        <v>230.15</v>
      </c>
      <c r="D3">
        <v>9</v>
      </c>
      <c r="E3" s="1">
        <v>46048</v>
      </c>
      <c r="F3" t="s">
        <v>8</v>
      </c>
      <c r="G3">
        <f t="shared" si="0"/>
        <v>221.15</v>
      </c>
    </row>
    <row r="4" spans="1:8" x14ac:dyDescent="0.25">
      <c r="A4" t="s">
        <v>286</v>
      </c>
      <c r="C4">
        <f>G3</f>
        <v>221.15</v>
      </c>
      <c r="D4">
        <v>9</v>
      </c>
      <c r="G4">
        <f t="shared" si="0"/>
        <v>212.15</v>
      </c>
    </row>
    <row r="5" spans="1:8" x14ac:dyDescent="0.25">
      <c r="A5" s="6" t="s">
        <v>304</v>
      </c>
      <c r="C5">
        <f>G4</f>
        <v>212.15</v>
      </c>
      <c r="D5">
        <v>9</v>
      </c>
      <c r="G5">
        <f t="shared" si="0"/>
        <v>203.15</v>
      </c>
    </row>
    <row r="6" spans="1:8" x14ac:dyDescent="0.25">
      <c r="C6">
        <f>G5</f>
        <v>203.15</v>
      </c>
      <c r="D6">
        <v>2</v>
      </c>
      <c r="F6" t="s">
        <v>9</v>
      </c>
      <c r="G6">
        <f t="shared" si="0"/>
        <v>201.15</v>
      </c>
    </row>
    <row r="7" spans="1:8" x14ac:dyDescent="0.25">
      <c r="C7">
        <f>G6</f>
        <v>201.15</v>
      </c>
      <c r="G7">
        <f t="shared" si="0"/>
        <v>201.15</v>
      </c>
    </row>
    <row r="8" spans="1:8" x14ac:dyDescent="0.25">
      <c r="A8" t="s">
        <v>258</v>
      </c>
      <c r="C8">
        <v>197</v>
      </c>
      <c r="D8">
        <v>17.399999999999999</v>
      </c>
      <c r="E8" s="3">
        <v>46067</v>
      </c>
      <c r="F8" t="s">
        <v>259</v>
      </c>
      <c r="G8">
        <f t="shared" ref="G8:G24" si="1">C8-D8</f>
        <v>179.6</v>
      </c>
      <c r="H8" t="s">
        <v>260</v>
      </c>
    </row>
    <row r="9" spans="1:8" x14ac:dyDescent="0.25">
      <c r="C9">
        <f>G8</f>
        <v>179.6</v>
      </c>
      <c r="D9">
        <v>4.43</v>
      </c>
      <c r="F9" t="s">
        <v>261</v>
      </c>
      <c r="G9">
        <f t="shared" si="1"/>
        <v>175.17</v>
      </c>
      <c r="H9" t="s">
        <v>221</v>
      </c>
    </row>
    <row r="10" spans="1:8" x14ac:dyDescent="0.25">
      <c r="C10">
        <f t="shared" ref="C10:C25" si="2">G9</f>
        <v>175.17</v>
      </c>
      <c r="D10">
        <v>4.6500000000000004</v>
      </c>
      <c r="F10" t="s">
        <v>262</v>
      </c>
      <c r="G10">
        <f t="shared" si="1"/>
        <v>170.51999999999998</v>
      </c>
      <c r="H10" t="s">
        <v>233</v>
      </c>
    </row>
    <row r="11" spans="1:8" x14ac:dyDescent="0.25">
      <c r="C11">
        <f t="shared" si="2"/>
        <v>170.51999999999998</v>
      </c>
      <c r="D11">
        <v>60.51</v>
      </c>
      <c r="E11" s="3">
        <v>46069</v>
      </c>
      <c r="F11" t="s">
        <v>278</v>
      </c>
      <c r="G11">
        <f t="shared" si="1"/>
        <v>110.00999999999999</v>
      </c>
      <c r="H11" t="s">
        <v>279</v>
      </c>
    </row>
    <row r="12" spans="1:8" x14ac:dyDescent="0.25">
      <c r="C12">
        <f t="shared" si="2"/>
        <v>110.00999999999999</v>
      </c>
      <c r="D12">
        <v>2.48</v>
      </c>
      <c r="E12" s="3">
        <v>46072</v>
      </c>
      <c r="F12" t="s">
        <v>262</v>
      </c>
      <c r="G12">
        <f t="shared" si="1"/>
        <v>107.52999999999999</v>
      </c>
      <c r="H12" t="s">
        <v>221</v>
      </c>
    </row>
    <row r="13" spans="1:8" x14ac:dyDescent="0.25">
      <c r="C13">
        <f t="shared" si="2"/>
        <v>107.52999999999999</v>
      </c>
      <c r="D13">
        <v>95.22</v>
      </c>
      <c r="E13" s="3"/>
      <c r="F13" t="s">
        <v>307</v>
      </c>
      <c r="G13">
        <f t="shared" si="1"/>
        <v>12.309999999999988</v>
      </c>
      <c r="H13" t="s">
        <v>308</v>
      </c>
    </row>
    <row r="14" spans="1:8" x14ac:dyDescent="0.25">
      <c r="C14">
        <f t="shared" si="2"/>
        <v>12.309999999999988</v>
      </c>
      <c r="G14">
        <f t="shared" si="1"/>
        <v>12.309999999999988</v>
      </c>
    </row>
    <row r="15" spans="1:8" x14ac:dyDescent="0.25">
      <c r="C15">
        <f t="shared" si="2"/>
        <v>12.309999999999988</v>
      </c>
      <c r="G15">
        <f t="shared" si="1"/>
        <v>12.309999999999988</v>
      </c>
    </row>
    <row r="16" spans="1:8" x14ac:dyDescent="0.25">
      <c r="C16">
        <f t="shared" si="2"/>
        <v>12.309999999999988</v>
      </c>
      <c r="G16">
        <f t="shared" si="1"/>
        <v>12.309999999999988</v>
      </c>
    </row>
    <row r="17" spans="3:7" x14ac:dyDescent="0.25">
      <c r="C17">
        <f t="shared" si="2"/>
        <v>12.309999999999988</v>
      </c>
      <c r="G17">
        <f t="shared" si="1"/>
        <v>12.309999999999988</v>
      </c>
    </row>
    <row r="18" spans="3:7" x14ac:dyDescent="0.25">
      <c r="C18">
        <f t="shared" si="2"/>
        <v>12.309999999999988</v>
      </c>
      <c r="G18">
        <f t="shared" si="1"/>
        <v>12.309999999999988</v>
      </c>
    </row>
    <row r="19" spans="3:7" x14ac:dyDescent="0.25">
      <c r="C19">
        <f t="shared" si="2"/>
        <v>12.309999999999988</v>
      </c>
      <c r="G19">
        <f t="shared" si="1"/>
        <v>12.309999999999988</v>
      </c>
    </row>
    <row r="20" spans="3:7" x14ac:dyDescent="0.25">
      <c r="C20">
        <f t="shared" si="2"/>
        <v>12.309999999999988</v>
      </c>
      <c r="G20">
        <f t="shared" si="1"/>
        <v>12.309999999999988</v>
      </c>
    </row>
    <row r="21" spans="3:7" x14ac:dyDescent="0.25">
      <c r="C21">
        <f t="shared" si="2"/>
        <v>12.309999999999988</v>
      </c>
      <c r="G21">
        <f t="shared" si="1"/>
        <v>12.309999999999988</v>
      </c>
    </row>
    <row r="22" spans="3:7" x14ac:dyDescent="0.25">
      <c r="C22">
        <f t="shared" si="2"/>
        <v>12.309999999999988</v>
      </c>
      <c r="G22">
        <f t="shared" si="1"/>
        <v>12.309999999999988</v>
      </c>
    </row>
    <row r="23" spans="3:7" x14ac:dyDescent="0.25">
      <c r="C23">
        <f t="shared" si="2"/>
        <v>12.309999999999988</v>
      </c>
      <c r="G23">
        <f t="shared" si="1"/>
        <v>12.309999999999988</v>
      </c>
    </row>
    <row r="24" spans="3:7" x14ac:dyDescent="0.25">
      <c r="C24">
        <f t="shared" si="2"/>
        <v>12.309999999999988</v>
      </c>
      <c r="G24">
        <f t="shared" si="1"/>
        <v>12.309999999999988</v>
      </c>
    </row>
    <row r="25" spans="3:7" x14ac:dyDescent="0.25">
      <c r="C25">
        <f t="shared" si="2"/>
        <v>12.309999999999988</v>
      </c>
    </row>
  </sheetData>
  <hyperlinks>
    <hyperlink ref="A5" location="SHORTCUTS!A1" display="SHORTCUTS" xr:uid="{EBC82E58-ADCE-4875-A59B-6D63DF0B52BE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8E88-959D-4A71-9D6D-1C4EFF7ED3F5}">
  <dimension ref="A1:H25"/>
  <sheetViews>
    <sheetView workbookViewId="0">
      <selection activeCell="F24" sqref="F24"/>
    </sheetView>
  </sheetViews>
  <sheetFormatPr baseColWidth="10" defaultRowHeight="15" x14ac:dyDescent="0.25"/>
  <sheetData>
    <row r="1" spans="1:8" x14ac:dyDescent="0.25">
      <c r="B1" t="s">
        <v>11</v>
      </c>
      <c r="C1" t="s">
        <v>2</v>
      </c>
      <c r="D1" t="s">
        <v>5</v>
      </c>
      <c r="E1" t="s">
        <v>3</v>
      </c>
      <c r="F1" t="s">
        <v>4</v>
      </c>
      <c r="G1" t="s">
        <v>7</v>
      </c>
    </row>
    <row r="2" spans="1:8" x14ac:dyDescent="0.25">
      <c r="A2" t="s">
        <v>1</v>
      </c>
      <c r="C2">
        <v>250</v>
      </c>
      <c r="D2">
        <v>10</v>
      </c>
      <c r="E2" s="1">
        <v>46067</v>
      </c>
      <c r="F2" t="s">
        <v>269</v>
      </c>
      <c r="G2">
        <f>C2-D2</f>
        <v>240</v>
      </c>
      <c r="H2" t="s">
        <v>270</v>
      </c>
    </row>
    <row r="3" spans="1:8" x14ac:dyDescent="0.25">
      <c r="A3" s="2">
        <v>380</v>
      </c>
      <c r="B3" s="2"/>
      <c r="C3">
        <f>G2</f>
        <v>240</v>
      </c>
      <c r="D3">
        <v>2.34</v>
      </c>
      <c r="E3" s="1">
        <v>46070</v>
      </c>
      <c r="F3" t="s">
        <v>284</v>
      </c>
      <c r="G3">
        <f t="shared" ref="G3:G25" si="0">C3-D3</f>
        <v>237.66</v>
      </c>
      <c r="H3" t="s">
        <v>285</v>
      </c>
    </row>
    <row r="4" spans="1:8" x14ac:dyDescent="0.25">
      <c r="A4" t="s">
        <v>287</v>
      </c>
      <c r="C4">
        <f t="shared" ref="C4:C23" si="1">G3</f>
        <v>237.66</v>
      </c>
      <c r="D4">
        <v>45.43</v>
      </c>
      <c r="E4" s="3">
        <v>46072</v>
      </c>
      <c r="F4" t="s">
        <v>311</v>
      </c>
      <c r="G4">
        <f t="shared" si="0"/>
        <v>192.23</v>
      </c>
      <c r="H4" t="s">
        <v>312</v>
      </c>
    </row>
    <row r="5" spans="1:8" x14ac:dyDescent="0.25">
      <c r="A5" s="6" t="s">
        <v>304</v>
      </c>
      <c r="C5">
        <f t="shared" si="1"/>
        <v>192.23</v>
      </c>
      <c r="D5">
        <v>6.76</v>
      </c>
      <c r="E5" s="3">
        <v>46076</v>
      </c>
      <c r="F5" t="s">
        <v>335</v>
      </c>
      <c r="G5">
        <f t="shared" si="0"/>
        <v>185.47</v>
      </c>
      <c r="H5" t="s">
        <v>336</v>
      </c>
    </row>
    <row r="6" spans="1:8" x14ac:dyDescent="0.25">
      <c r="C6">
        <f t="shared" si="1"/>
        <v>185.47</v>
      </c>
      <c r="D6">
        <v>3.28</v>
      </c>
      <c r="F6" t="s">
        <v>337</v>
      </c>
      <c r="G6">
        <f t="shared" si="0"/>
        <v>182.19</v>
      </c>
      <c r="H6" t="s">
        <v>233</v>
      </c>
    </row>
    <row r="7" spans="1:8" x14ac:dyDescent="0.25">
      <c r="C7">
        <f t="shared" si="1"/>
        <v>182.19</v>
      </c>
      <c r="G7">
        <f t="shared" si="0"/>
        <v>182.19</v>
      </c>
    </row>
    <row r="8" spans="1:8" x14ac:dyDescent="0.25">
      <c r="C8">
        <f t="shared" si="1"/>
        <v>182.19</v>
      </c>
      <c r="G8">
        <f t="shared" si="0"/>
        <v>182.19</v>
      </c>
    </row>
    <row r="9" spans="1:8" x14ac:dyDescent="0.25">
      <c r="C9">
        <f t="shared" si="1"/>
        <v>182.19</v>
      </c>
      <c r="G9">
        <f t="shared" si="0"/>
        <v>182.19</v>
      </c>
    </row>
    <row r="10" spans="1:8" x14ac:dyDescent="0.25">
      <c r="C10">
        <f t="shared" si="1"/>
        <v>182.19</v>
      </c>
      <c r="G10">
        <f t="shared" si="0"/>
        <v>182.19</v>
      </c>
    </row>
    <row r="11" spans="1:8" x14ac:dyDescent="0.25">
      <c r="C11">
        <f t="shared" si="1"/>
        <v>182.19</v>
      </c>
      <c r="G11">
        <f t="shared" si="0"/>
        <v>182.19</v>
      </c>
    </row>
    <row r="12" spans="1:8" x14ac:dyDescent="0.25">
      <c r="C12">
        <f t="shared" si="1"/>
        <v>182.19</v>
      </c>
      <c r="G12">
        <f t="shared" si="0"/>
        <v>182.19</v>
      </c>
    </row>
    <row r="13" spans="1:8" x14ac:dyDescent="0.25">
      <c r="C13">
        <f t="shared" si="1"/>
        <v>182.19</v>
      </c>
      <c r="G13">
        <f t="shared" si="0"/>
        <v>182.19</v>
      </c>
    </row>
    <row r="14" spans="1:8" x14ac:dyDescent="0.25">
      <c r="C14">
        <f t="shared" si="1"/>
        <v>182.19</v>
      </c>
      <c r="G14">
        <f t="shared" si="0"/>
        <v>182.19</v>
      </c>
    </row>
    <row r="15" spans="1:8" x14ac:dyDescent="0.25">
      <c r="C15">
        <f t="shared" si="1"/>
        <v>182.19</v>
      </c>
      <c r="G15">
        <f t="shared" si="0"/>
        <v>182.19</v>
      </c>
    </row>
    <row r="16" spans="1:8" x14ac:dyDescent="0.25">
      <c r="C16">
        <f t="shared" si="1"/>
        <v>182.19</v>
      </c>
      <c r="G16">
        <f t="shared" si="0"/>
        <v>182.19</v>
      </c>
    </row>
    <row r="17" spans="3:7" x14ac:dyDescent="0.25">
      <c r="C17">
        <f t="shared" si="1"/>
        <v>182.19</v>
      </c>
      <c r="G17">
        <f t="shared" si="0"/>
        <v>182.19</v>
      </c>
    </row>
    <row r="18" spans="3:7" x14ac:dyDescent="0.25">
      <c r="C18">
        <f t="shared" si="1"/>
        <v>182.19</v>
      </c>
      <c r="G18">
        <f t="shared" si="0"/>
        <v>182.19</v>
      </c>
    </row>
    <row r="19" spans="3:7" x14ac:dyDescent="0.25">
      <c r="C19">
        <f t="shared" si="1"/>
        <v>182.19</v>
      </c>
      <c r="G19">
        <f t="shared" si="0"/>
        <v>182.19</v>
      </c>
    </row>
    <row r="20" spans="3:7" x14ac:dyDescent="0.25">
      <c r="C20">
        <f t="shared" si="1"/>
        <v>182.19</v>
      </c>
      <c r="G20">
        <f t="shared" si="0"/>
        <v>182.19</v>
      </c>
    </row>
    <row r="21" spans="3:7" x14ac:dyDescent="0.25">
      <c r="C21">
        <f t="shared" si="1"/>
        <v>182.19</v>
      </c>
      <c r="G21">
        <f t="shared" si="0"/>
        <v>182.19</v>
      </c>
    </row>
    <row r="22" spans="3:7" x14ac:dyDescent="0.25">
      <c r="C22">
        <f t="shared" si="1"/>
        <v>182.19</v>
      </c>
      <c r="G22">
        <f t="shared" si="0"/>
        <v>182.19</v>
      </c>
    </row>
    <row r="23" spans="3:7" x14ac:dyDescent="0.25">
      <c r="C23">
        <f t="shared" si="1"/>
        <v>182.19</v>
      </c>
      <c r="G23">
        <f t="shared" si="0"/>
        <v>182.19</v>
      </c>
    </row>
    <row r="24" spans="3:7" x14ac:dyDescent="0.25">
      <c r="G24">
        <f t="shared" si="0"/>
        <v>0</v>
      </c>
    </row>
    <row r="25" spans="3:7" x14ac:dyDescent="0.25">
      <c r="G25">
        <f t="shared" si="0"/>
        <v>0</v>
      </c>
    </row>
  </sheetData>
  <hyperlinks>
    <hyperlink ref="A5" location="SHORTCUTS!A1" display="SHORTCUTS" xr:uid="{5933C2D0-4BD0-487D-B380-25825552F1A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057B-88CD-40E5-AF46-4BACC58D6E39}">
  <dimension ref="A1:S37"/>
  <sheetViews>
    <sheetView zoomScaleNormal="100" workbookViewId="0">
      <selection activeCell="B3" sqref="B3"/>
    </sheetView>
  </sheetViews>
  <sheetFormatPr baseColWidth="10" defaultRowHeight="15" x14ac:dyDescent="0.25"/>
  <cols>
    <col min="12" max="12" width="16.28515625" bestFit="1" customWidth="1"/>
  </cols>
  <sheetData>
    <row r="1" spans="1:19" x14ac:dyDescent="0.25">
      <c r="B1" t="s">
        <v>11</v>
      </c>
      <c r="C1" t="s">
        <v>2</v>
      </c>
      <c r="D1" t="s">
        <v>5</v>
      </c>
      <c r="E1" t="s">
        <v>3</v>
      </c>
      <c r="F1" t="s">
        <v>4</v>
      </c>
      <c r="G1" t="s">
        <v>7</v>
      </c>
    </row>
    <row r="2" spans="1:19" x14ac:dyDescent="0.25">
      <c r="A2" t="s">
        <v>65</v>
      </c>
      <c r="B2">
        <v>275</v>
      </c>
      <c r="C2">
        <v>1000</v>
      </c>
      <c r="D2">
        <v>15.8</v>
      </c>
      <c r="E2" s="1">
        <v>46053</v>
      </c>
      <c r="F2" t="s">
        <v>43</v>
      </c>
      <c r="G2">
        <f>C2-D2</f>
        <v>984.2</v>
      </c>
      <c r="L2" t="s">
        <v>69</v>
      </c>
      <c r="M2">
        <v>3.1</v>
      </c>
      <c r="P2" t="s">
        <v>73</v>
      </c>
      <c r="R2">
        <v>1.93</v>
      </c>
      <c r="S2" t="s">
        <v>80</v>
      </c>
    </row>
    <row r="3" spans="1:19" x14ac:dyDescent="0.25">
      <c r="A3" s="2"/>
      <c r="B3" s="6" t="s">
        <v>304</v>
      </c>
      <c r="C3">
        <f>G2</f>
        <v>984.2</v>
      </c>
      <c r="D3">
        <v>30</v>
      </c>
      <c r="E3" s="1">
        <v>46053</v>
      </c>
      <c r="F3" t="s">
        <v>66</v>
      </c>
      <c r="G3">
        <f>C3-D3</f>
        <v>954.2</v>
      </c>
    </row>
    <row r="4" spans="1:19" x14ac:dyDescent="0.25">
      <c r="C4">
        <f>G3</f>
        <v>954.2</v>
      </c>
      <c r="D4">
        <v>0.87</v>
      </c>
      <c r="E4" s="3">
        <v>46053</v>
      </c>
      <c r="F4" t="s">
        <v>48</v>
      </c>
      <c r="G4">
        <f>C4-D4</f>
        <v>953.33</v>
      </c>
    </row>
    <row r="5" spans="1:19" x14ac:dyDescent="0.25">
      <c r="C5">
        <f>G4</f>
        <v>953.33</v>
      </c>
      <c r="D5">
        <v>0.87</v>
      </c>
      <c r="F5" t="s">
        <v>48</v>
      </c>
      <c r="G5">
        <f>C5-D5</f>
        <v>952.46</v>
      </c>
    </row>
    <row r="6" spans="1:19" x14ac:dyDescent="0.25">
      <c r="C6">
        <f>G5</f>
        <v>952.46</v>
      </c>
      <c r="D6">
        <v>3.45</v>
      </c>
      <c r="F6" t="s">
        <v>49</v>
      </c>
      <c r="G6">
        <f>C6-D6</f>
        <v>949.01</v>
      </c>
    </row>
    <row r="7" spans="1:19" x14ac:dyDescent="0.25">
      <c r="C7">
        <f>G6</f>
        <v>949.01</v>
      </c>
      <c r="F7" t="s">
        <v>67</v>
      </c>
      <c r="G7">
        <f t="shared" ref="G7:G37" si="0">C7-D7</f>
        <v>949.01</v>
      </c>
      <c r="I7" t="s">
        <v>68</v>
      </c>
      <c r="L7" t="s">
        <v>70</v>
      </c>
      <c r="M7">
        <v>6.09</v>
      </c>
    </row>
    <row r="8" spans="1:19" x14ac:dyDescent="0.25">
      <c r="C8">
        <f t="shared" ref="C8:C36" si="1">G7</f>
        <v>949.01</v>
      </c>
      <c r="D8">
        <v>2.7</v>
      </c>
      <c r="G8">
        <f t="shared" si="0"/>
        <v>946.31</v>
      </c>
      <c r="P8" t="s">
        <v>74</v>
      </c>
      <c r="Q8">
        <v>12.29</v>
      </c>
    </row>
    <row r="9" spans="1:19" x14ac:dyDescent="0.25">
      <c r="C9">
        <f t="shared" si="1"/>
        <v>946.31</v>
      </c>
      <c r="D9">
        <v>14.27</v>
      </c>
      <c r="F9" t="s">
        <v>75</v>
      </c>
      <c r="G9">
        <f t="shared" si="0"/>
        <v>932.04</v>
      </c>
      <c r="H9" t="s">
        <v>76</v>
      </c>
    </row>
    <row r="10" spans="1:19" x14ac:dyDescent="0.25">
      <c r="C10">
        <f t="shared" si="1"/>
        <v>932.04</v>
      </c>
      <c r="D10">
        <v>30.36</v>
      </c>
      <c r="F10" t="s">
        <v>75</v>
      </c>
      <c r="G10">
        <f t="shared" si="0"/>
        <v>901.68</v>
      </c>
    </row>
    <row r="11" spans="1:19" x14ac:dyDescent="0.25">
      <c r="C11">
        <f t="shared" si="1"/>
        <v>901.68</v>
      </c>
      <c r="D11">
        <v>0.9</v>
      </c>
      <c r="F11" t="s">
        <v>77</v>
      </c>
      <c r="G11">
        <f t="shared" si="0"/>
        <v>900.78</v>
      </c>
    </row>
    <row r="12" spans="1:19" x14ac:dyDescent="0.25">
      <c r="C12">
        <f t="shared" si="1"/>
        <v>900.78</v>
      </c>
      <c r="D12">
        <v>14.28</v>
      </c>
      <c r="F12" t="s">
        <v>79</v>
      </c>
      <c r="G12">
        <f t="shared" si="0"/>
        <v>886.5</v>
      </c>
      <c r="H12" t="s">
        <v>76</v>
      </c>
    </row>
    <row r="13" spans="1:19" x14ac:dyDescent="0.25">
      <c r="C13">
        <f t="shared" si="1"/>
        <v>886.5</v>
      </c>
      <c r="D13">
        <v>3.9</v>
      </c>
      <c r="F13" t="s">
        <v>83</v>
      </c>
      <c r="G13">
        <f t="shared" si="0"/>
        <v>882.6</v>
      </c>
    </row>
    <row r="14" spans="1:19" x14ac:dyDescent="0.25">
      <c r="C14">
        <f t="shared" si="1"/>
        <v>882.6</v>
      </c>
      <c r="D14">
        <v>4.5599999999999996</v>
      </c>
      <c r="F14" t="s">
        <v>84</v>
      </c>
      <c r="G14">
        <f t="shared" si="0"/>
        <v>878.04000000000008</v>
      </c>
      <c r="L14" t="s">
        <v>71</v>
      </c>
      <c r="M14">
        <v>1.05</v>
      </c>
    </row>
    <row r="15" spans="1:19" x14ac:dyDescent="0.25">
      <c r="C15">
        <f t="shared" si="1"/>
        <v>878.04000000000008</v>
      </c>
      <c r="D15">
        <v>20</v>
      </c>
      <c r="F15" t="s">
        <v>85</v>
      </c>
      <c r="G15">
        <f t="shared" si="0"/>
        <v>858.04000000000008</v>
      </c>
    </row>
    <row r="16" spans="1:19" x14ac:dyDescent="0.25">
      <c r="C16">
        <f t="shared" si="1"/>
        <v>858.04000000000008</v>
      </c>
      <c r="D16">
        <v>26.82</v>
      </c>
      <c r="F16" t="s">
        <v>86</v>
      </c>
      <c r="G16">
        <f t="shared" si="0"/>
        <v>831.22</v>
      </c>
    </row>
    <row r="17" spans="3:17" x14ac:dyDescent="0.25">
      <c r="C17">
        <f t="shared" si="1"/>
        <v>831.22</v>
      </c>
      <c r="D17">
        <v>12.25</v>
      </c>
      <c r="F17" t="s">
        <v>88</v>
      </c>
      <c r="G17">
        <f t="shared" si="0"/>
        <v>818.97</v>
      </c>
    </row>
    <row r="18" spans="3:17" x14ac:dyDescent="0.25">
      <c r="C18">
        <f>G17</f>
        <v>818.97</v>
      </c>
      <c r="D18">
        <v>174</v>
      </c>
      <c r="F18" t="s">
        <v>177</v>
      </c>
      <c r="G18">
        <f t="shared" si="0"/>
        <v>644.97</v>
      </c>
    </row>
    <row r="19" spans="3:17" x14ac:dyDescent="0.25">
      <c r="C19">
        <f t="shared" si="1"/>
        <v>644.97</v>
      </c>
      <c r="D19">
        <v>74.09</v>
      </c>
      <c r="F19" t="s">
        <v>178</v>
      </c>
      <c r="G19">
        <f t="shared" si="0"/>
        <v>570.88</v>
      </c>
      <c r="P19" t="s">
        <v>78</v>
      </c>
      <c r="Q19">
        <v>14.28</v>
      </c>
    </row>
    <row r="20" spans="3:17" x14ac:dyDescent="0.25">
      <c r="C20">
        <f t="shared" si="1"/>
        <v>570.88</v>
      </c>
      <c r="D20">
        <v>11.04</v>
      </c>
      <c r="E20" s="3">
        <v>46060</v>
      </c>
      <c r="F20" t="s">
        <v>203</v>
      </c>
      <c r="G20">
        <f t="shared" si="0"/>
        <v>559.84</v>
      </c>
      <c r="H20" t="s">
        <v>204</v>
      </c>
      <c r="L20" t="s">
        <v>72</v>
      </c>
      <c r="M20">
        <v>4.54</v>
      </c>
    </row>
    <row r="21" spans="3:17" x14ac:dyDescent="0.25">
      <c r="C21">
        <f t="shared" si="1"/>
        <v>559.84</v>
      </c>
      <c r="D21">
        <v>4.1500000000000004</v>
      </c>
      <c r="F21" t="s">
        <v>205</v>
      </c>
      <c r="G21">
        <f t="shared" si="0"/>
        <v>555.69000000000005</v>
      </c>
      <c r="H21" t="s">
        <v>206</v>
      </c>
    </row>
    <row r="22" spans="3:17" x14ac:dyDescent="0.25">
      <c r="C22">
        <f t="shared" si="1"/>
        <v>555.69000000000005</v>
      </c>
      <c r="D22">
        <v>25.94</v>
      </c>
      <c r="E22" s="3">
        <v>46065</v>
      </c>
      <c r="F22" t="s">
        <v>230</v>
      </c>
      <c r="G22">
        <f t="shared" si="0"/>
        <v>529.75</v>
      </c>
      <c r="H22" t="s">
        <v>231</v>
      </c>
    </row>
    <row r="23" spans="3:17" x14ac:dyDescent="0.25">
      <c r="C23">
        <f t="shared" si="1"/>
        <v>529.75</v>
      </c>
      <c r="D23">
        <v>11.23</v>
      </c>
      <c r="F23" t="s">
        <v>245</v>
      </c>
      <c r="G23">
        <f t="shared" si="0"/>
        <v>518.52</v>
      </c>
      <c r="H23" t="s">
        <v>246</v>
      </c>
    </row>
    <row r="24" spans="3:17" x14ac:dyDescent="0.25">
      <c r="C24">
        <f t="shared" si="1"/>
        <v>518.52</v>
      </c>
      <c r="D24">
        <v>1</v>
      </c>
      <c r="E24" s="3">
        <v>46077</v>
      </c>
      <c r="F24" t="s">
        <v>355</v>
      </c>
      <c r="G24">
        <f t="shared" si="0"/>
        <v>517.52</v>
      </c>
      <c r="H24" t="s">
        <v>214</v>
      </c>
    </row>
    <row r="25" spans="3:17" x14ac:dyDescent="0.25">
      <c r="C25">
        <f t="shared" si="1"/>
        <v>517.52</v>
      </c>
      <c r="D25">
        <v>58.81</v>
      </c>
      <c r="E25" s="3">
        <v>46088</v>
      </c>
      <c r="F25" t="s">
        <v>380</v>
      </c>
      <c r="G25">
        <f t="shared" si="0"/>
        <v>458.71</v>
      </c>
      <c r="H25" t="s">
        <v>332</v>
      </c>
    </row>
    <row r="26" spans="3:17" x14ac:dyDescent="0.25">
      <c r="C26">
        <f t="shared" si="1"/>
        <v>458.71</v>
      </c>
      <c r="D26">
        <v>17.78</v>
      </c>
      <c r="E26" s="3">
        <v>46091</v>
      </c>
      <c r="F26" t="s">
        <v>381</v>
      </c>
      <c r="G26">
        <f t="shared" si="0"/>
        <v>440.92999999999995</v>
      </c>
      <c r="H26" t="s">
        <v>382</v>
      </c>
      <c r="I26" t="s">
        <v>108</v>
      </c>
    </row>
    <row r="27" spans="3:17" x14ac:dyDescent="0.25">
      <c r="C27">
        <f t="shared" si="1"/>
        <v>440.92999999999995</v>
      </c>
      <c r="D27">
        <v>17.96</v>
      </c>
      <c r="F27" t="s">
        <v>381</v>
      </c>
      <c r="G27">
        <f t="shared" si="0"/>
        <v>422.96999999999997</v>
      </c>
      <c r="L27" t="s">
        <v>81</v>
      </c>
      <c r="P27" t="s">
        <v>100</v>
      </c>
      <c r="Q27">
        <v>4.12</v>
      </c>
    </row>
    <row r="28" spans="3:17" x14ac:dyDescent="0.25">
      <c r="C28">
        <f t="shared" si="1"/>
        <v>422.96999999999997</v>
      </c>
      <c r="D28">
        <v>17.96</v>
      </c>
      <c r="F28" t="s">
        <v>383</v>
      </c>
      <c r="G28">
        <f t="shared" si="0"/>
        <v>405.01</v>
      </c>
      <c r="H28" t="s">
        <v>382</v>
      </c>
      <c r="L28" t="s">
        <v>82</v>
      </c>
    </row>
    <row r="29" spans="3:17" x14ac:dyDescent="0.25">
      <c r="C29">
        <f t="shared" si="1"/>
        <v>405.01</v>
      </c>
      <c r="D29">
        <v>0.45</v>
      </c>
      <c r="E29" s="3">
        <v>46114</v>
      </c>
      <c r="F29" t="s">
        <v>412</v>
      </c>
      <c r="G29">
        <f t="shared" si="0"/>
        <v>404.56</v>
      </c>
      <c r="H29" t="s">
        <v>217</v>
      </c>
    </row>
    <row r="30" spans="3:17" x14ac:dyDescent="0.25">
      <c r="C30">
        <f t="shared" si="1"/>
        <v>404.56</v>
      </c>
      <c r="D30">
        <v>18.38</v>
      </c>
      <c r="E30" s="3">
        <v>46133</v>
      </c>
      <c r="F30" t="s">
        <v>440</v>
      </c>
      <c r="G30">
        <f t="shared" si="0"/>
        <v>386.18</v>
      </c>
      <c r="H30" t="s">
        <v>423</v>
      </c>
    </row>
    <row r="31" spans="3:17" x14ac:dyDescent="0.25">
      <c r="C31">
        <f t="shared" si="1"/>
        <v>386.18</v>
      </c>
      <c r="D31">
        <v>5</v>
      </c>
      <c r="E31" s="3">
        <v>46140</v>
      </c>
      <c r="F31" t="s">
        <v>461</v>
      </c>
      <c r="G31">
        <f t="shared" si="0"/>
        <v>381.18</v>
      </c>
      <c r="H31" t="s">
        <v>462</v>
      </c>
    </row>
    <row r="32" spans="3:17" x14ac:dyDescent="0.25">
      <c r="C32">
        <f t="shared" si="1"/>
        <v>381.18</v>
      </c>
      <c r="D32">
        <v>1.22</v>
      </c>
      <c r="E32" s="3">
        <v>46153</v>
      </c>
      <c r="F32" t="s">
        <v>504</v>
      </c>
      <c r="G32">
        <f t="shared" si="0"/>
        <v>379.96</v>
      </c>
      <c r="H32" t="s">
        <v>224</v>
      </c>
    </row>
    <row r="33" spans="3:8" x14ac:dyDescent="0.25">
      <c r="C33">
        <f t="shared" si="1"/>
        <v>379.96</v>
      </c>
      <c r="D33">
        <v>16.89</v>
      </c>
      <c r="E33" s="3">
        <v>46165</v>
      </c>
      <c r="F33" t="s">
        <v>561</v>
      </c>
      <c r="G33">
        <f t="shared" si="0"/>
        <v>363.07</v>
      </c>
      <c r="H33" t="s">
        <v>378</v>
      </c>
    </row>
    <row r="34" spans="3:8" x14ac:dyDescent="0.25">
      <c r="C34">
        <f t="shared" si="1"/>
        <v>363.07</v>
      </c>
      <c r="D34">
        <v>10.91</v>
      </c>
      <c r="F34" t="s">
        <v>562</v>
      </c>
      <c r="G34">
        <f t="shared" si="0"/>
        <v>352.15999999999997</v>
      </c>
    </row>
    <row r="35" spans="3:8" x14ac:dyDescent="0.25">
      <c r="C35">
        <f t="shared" si="1"/>
        <v>352.15999999999997</v>
      </c>
      <c r="G35">
        <f t="shared" si="0"/>
        <v>352.15999999999997</v>
      </c>
    </row>
    <row r="36" spans="3:8" x14ac:dyDescent="0.25">
      <c r="C36">
        <f t="shared" si="1"/>
        <v>352.15999999999997</v>
      </c>
      <c r="G36">
        <f t="shared" si="0"/>
        <v>352.15999999999997</v>
      </c>
    </row>
    <row r="37" spans="3:8" x14ac:dyDescent="0.25">
      <c r="G37">
        <f t="shared" si="0"/>
        <v>0</v>
      </c>
    </row>
  </sheetData>
  <hyperlinks>
    <hyperlink ref="B3" location="SHORTCUTS!A1" display="SHORTCUTS" xr:uid="{A8EF2DF5-EDA9-468C-AA70-C271E45A0DD1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7197-4518-48B3-9D57-2F7CBABF83C0}">
  <dimension ref="A1:I82"/>
  <sheetViews>
    <sheetView workbookViewId="0">
      <selection activeCell="A3" sqref="A3"/>
    </sheetView>
  </sheetViews>
  <sheetFormatPr baseColWidth="10" defaultRowHeight="15" x14ac:dyDescent="0.25"/>
  <cols>
    <col min="6" max="6" width="14.7109375" customWidth="1"/>
  </cols>
  <sheetData>
    <row r="1" spans="1:8" x14ac:dyDescent="0.25">
      <c r="A1">
        <v>12</v>
      </c>
      <c r="B1" t="s">
        <v>11</v>
      </c>
      <c r="C1" t="s">
        <v>2</v>
      </c>
      <c r="D1" t="s">
        <v>5</v>
      </c>
      <c r="E1" t="s">
        <v>3</v>
      </c>
      <c r="F1" t="s">
        <v>4</v>
      </c>
      <c r="G1" t="s">
        <v>7</v>
      </c>
    </row>
    <row r="2" spans="1:8" x14ac:dyDescent="0.25">
      <c r="A2" t="s">
        <v>42</v>
      </c>
      <c r="B2">
        <v>275</v>
      </c>
      <c r="C2">
        <v>1000</v>
      </c>
      <c r="D2">
        <v>11.09</v>
      </c>
      <c r="E2" s="1">
        <v>46051</v>
      </c>
      <c r="F2" t="s">
        <v>43</v>
      </c>
      <c r="G2">
        <f>C2-D2</f>
        <v>988.91</v>
      </c>
    </row>
    <row r="3" spans="1:8" x14ac:dyDescent="0.25">
      <c r="A3" s="6" t="s">
        <v>304</v>
      </c>
      <c r="B3" s="2"/>
      <c r="C3">
        <f>G2</f>
        <v>988.91</v>
      </c>
      <c r="D3">
        <v>30</v>
      </c>
      <c r="E3" s="1">
        <v>46051</v>
      </c>
      <c r="F3" t="s">
        <v>44</v>
      </c>
      <c r="G3">
        <f>C3-D3</f>
        <v>958.91</v>
      </c>
    </row>
    <row r="4" spans="1:8" x14ac:dyDescent="0.25">
      <c r="C4">
        <f>G3</f>
        <v>958.91</v>
      </c>
      <c r="D4">
        <v>15.6</v>
      </c>
      <c r="F4" t="s">
        <v>45</v>
      </c>
      <c r="G4">
        <f>C4-D4</f>
        <v>943.31</v>
      </c>
    </row>
    <row r="5" spans="1:8" x14ac:dyDescent="0.25">
      <c r="C5">
        <f>G4</f>
        <v>943.31</v>
      </c>
      <c r="D5">
        <v>0.73</v>
      </c>
      <c r="F5" t="s">
        <v>46</v>
      </c>
      <c r="G5">
        <f>C5-D5</f>
        <v>942.57999999999993</v>
      </c>
    </row>
    <row r="6" spans="1:8" x14ac:dyDescent="0.25">
      <c r="C6">
        <f>G5</f>
        <v>942.57999999999993</v>
      </c>
      <c r="D6">
        <v>0.74</v>
      </c>
      <c r="F6" t="s">
        <v>47</v>
      </c>
      <c r="G6">
        <f>C6-D6</f>
        <v>941.83999999999992</v>
      </c>
    </row>
    <row r="7" spans="1:8" x14ac:dyDescent="0.25">
      <c r="C7">
        <f>G6</f>
        <v>941.83999999999992</v>
      </c>
      <c r="D7">
        <v>0.57999999999999996</v>
      </c>
      <c r="F7" t="s">
        <v>48</v>
      </c>
      <c r="G7">
        <f t="shared" ref="G7:G70" si="0">C7-D7</f>
        <v>941.25999999999988</v>
      </c>
    </row>
    <row r="8" spans="1:8" x14ac:dyDescent="0.25">
      <c r="C8">
        <f t="shared" ref="C8:C71" si="1">G7</f>
        <v>941.25999999999988</v>
      </c>
      <c r="D8">
        <v>0.57999999999999996</v>
      </c>
      <c r="F8" t="s">
        <v>48</v>
      </c>
      <c r="G8">
        <f t="shared" si="0"/>
        <v>940.67999999999984</v>
      </c>
    </row>
    <row r="9" spans="1:8" x14ac:dyDescent="0.25">
      <c r="C9">
        <f t="shared" si="1"/>
        <v>940.67999999999984</v>
      </c>
      <c r="D9">
        <v>4.0999999999999996</v>
      </c>
      <c r="F9" t="s">
        <v>49</v>
      </c>
      <c r="G9">
        <f t="shared" si="0"/>
        <v>936.57999999999981</v>
      </c>
    </row>
    <row r="10" spans="1:8" x14ac:dyDescent="0.25">
      <c r="C10">
        <f t="shared" si="1"/>
        <v>936.57999999999981</v>
      </c>
      <c r="D10">
        <v>4.01</v>
      </c>
      <c r="F10" t="s">
        <v>50</v>
      </c>
      <c r="G10">
        <f t="shared" si="0"/>
        <v>932.56999999999982</v>
      </c>
      <c r="H10" t="s">
        <v>51</v>
      </c>
    </row>
    <row r="11" spans="1:8" x14ac:dyDescent="0.25">
      <c r="C11">
        <f t="shared" si="1"/>
        <v>932.56999999999982</v>
      </c>
      <c r="D11">
        <v>4.26</v>
      </c>
      <c r="F11" t="s">
        <v>52</v>
      </c>
      <c r="G11">
        <f t="shared" si="0"/>
        <v>928.30999999999983</v>
      </c>
    </row>
    <row r="12" spans="1:8" x14ac:dyDescent="0.25">
      <c r="C12">
        <f t="shared" si="1"/>
        <v>928.30999999999983</v>
      </c>
      <c r="D12">
        <v>20.100000000000001</v>
      </c>
      <c r="F12" t="s">
        <v>53</v>
      </c>
      <c r="G12">
        <f t="shared" si="0"/>
        <v>908.20999999999981</v>
      </c>
    </row>
    <row r="13" spans="1:8" x14ac:dyDescent="0.25">
      <c r="C13">
        <f t="shared" si="1"/>
        <v>908.20999999999981</v>
      </c>
      <c r="D13">
        <v>4.5599999999999996</v>
      </c>
      <c r="E13" s="3">
        <v>46052</v>
      </c>
      <c r="F13" t="s">
        <v>54</v>
      </c>
      <c r="G13">
        <f t="shared" si="0"/>
        <v>903.64999999999986</v>
      </c>
    </row>
    <row r="14" spans="1:8" x14ac:dyDescent="0.25">
      <c r="C14">
        <f t="shared" si="1"/>
        <v>903.64999999999986</v>
      </c>
      <c r="D14">
        <v>4.0999999999999996</v>
      </c>
      <c r="E14">
        <v>30</v>
      </c>
      <c r="F14" t="s">
        <v>55</v>
      </c>
      <c r="G14">
        <f t="shared" si="0"/>
        <v>899.54999999999984</v>
      </c>
    </row>
    <row r="15" spans="1:8" x14ac:dyDescent="0.25">
      <c r="C15">
        <f t="shared" si="1"/>
        <v>899.54999999999984</v>
      </c>
      <c r="D15">
        <v>1.72</v>
      </c>
      <c r="F15" t="s">
        <v>56</v>
      </c>
      <c r="G15">
        <f>C15-D15</f>
        <v>897.82999999999981</v>
      </c>
    </row>
    <row r="16" spans="1:8" x14ac:dyDescent="0.25">
      <c r="C16">
        <f t="shared" si="1"/>
        <v>897.82999999999981</v>
      </c>
      <c r="D16">
        <v>3.7</v>
      </c>
      <c r="F16" t="s">
        <v>57</v>
      </c>
      <c r="G16">
        <f t="shared" si="0"/>
        <v>894.12999999999977</v>
      </c>
    </row>
    <row r="17" spans="1:7" x14ac:dyDescent="0.25">
      <c r="C17">
        <f t="shared" si="1"/>
        <v>894.12999999999977</v>
      </c>
      <c r="D17">
        <v>1.6</v>
      </c>
      <c r="F17" t="s">
        <v>58</v>
      </c>
      <c r="G17">
        <f t="shared" si="0"/>
        <v>892.52999999999975</v>
      </c>
    </row>
    <row r="18" spans="1:7" x14ac:dyDescent="0.25">
      <c r="C18">
        <f t="shared" si="1"/>
        <v>892.52999999999975</v>
      </c>
      <c r="D18">
        <v>2.74</v>
      </c>
      <c r="F18" t="s">
        <v>58</v>
      </c>
      <c r="G18">
        <f t="shared" si="0"/>
        <v>889.78999999999974</v>
      </c>
    </row>
    <row r="19" spans="1:7" x14ac:dyDescent="0.25">
      <c r="C19">
        <f t="shared" si="1"/>
        <v>889.78999999999974</v>
      </c>
      <c r="D19">
        <v>4.47</v>
      </c>
      <c r="F19" t="s">
        <v>59</v>
      </c>
      <c r="G19">
        <f t="shared" si="0"/>
        <v>885.31999999999971</v>
      </c>
    </row>
    <row r="20" spans="1:7" x14ac:dyDescent="0.25">
      <c r="C20">
        <f t="shared" si="1"/>
        <v>885.31999999999971</v>
      </c>
      <c r="D20">
        <v>0.32</v>
      </c>
      <c r="E20" t="s">
        <v>60</v>
      </c>
      <c r="G20">
        <f t="shared" si="0"/>
        <v>884.99999999999966</v>
      </c>
    </row>
    <row r="21" spans="1:7" x14ac:dyDescent="0.25">
      <c r="C21">
        <f t="shared" si="1"/>
        <v>884.99999999999966</v>
      </c>
      <c r="D21">
        <v>28.62</v>
      </c>
      <c r="F21" t="s">
        <v>61</v>
      </c>
      <c r="G21">
        <f t="shared" si="0"/>
        <v>856.37999999999965</v>
      </c>
    </row>
    <row r="22" spans="1:7" x14ac:dyDescent="0.25">
      <c r="C22">
        <f t="shared" si="1"/>
        <v>856.37999999999965</v>
      </c>
      <c r="D22">
        <v>9.17</v>
      </c>
      <c r="F22" t="s">
        <v>62</v>
      </c>
      <c r="G22">
        <f t="shared" si="0"/>
        <v>847.2099999999997</v>
      </c>
    </row>
    <row r="23" spans="1:7" x14ac:dyDescent="0.25">
      <c r="C23">
        <f t="shared" si="1"/>
        <v>847.2099999999997</v>
      </c>
      <c r="D23">
        <v>63.29</v>
      </c>
      <c r="F23" t="s">
        <v>63</v>
      </c>
      <c r="G23">
        <f t="shared" si="0"/>
        <v>783.91999999999973</v>
      </c>
    </row>
    <row r="24" spans="1:7" x14ac:dyDescent="0.25">
      <c r="C24">
        <f t="shared" si="1"/>
        <v>783.91999999999973</v>
      </c>
      <c r="D24">
        <v>30.18</v>
      </c>
      <c r="E24" s="3">
        <v>46054</v>
      </c>
      <c r="F24" t="s">
        <v>97</v>
      </c>
      <c r="G24">
        <f t="shared" si="0"/>
        <v>753.73999999999978</v>
      </c>
    </row>
    <row r="25" spans="1:7" x14ac:dyDescent="0.25">
      <c r="C25">
        <f t="shared" si="1"/>
        <v>753.73999999999978</v>
      </c>
      <c r="D25">
        <v>1.89</v>
      </c>
      <c r="F25" t="s">
        <v>98</v>
      </c>
      <c r="G25">
        <f t="shared" si="0"/>
        <v>751.8499999999998</v>
      </c>
    </row>
    <row r="26" spans="1:7" x14ac:dyDescent="0.25">
      <c r="C26">
        <f t="shared" si="1"/>
        <v>751.8499999999998</v>
      </c>
      <c r="D26">
        <v>29.4</v>
      </c>
      <c r="F26" t="s">
        <v>99</v>
      </c>
      <c r="G26">
        <f t="shared" si="0"/>
        <v>722.44999999999982</v>
      </c>
    </row>
    <row r="27" spans="1:7" x14ac:dyDescent="0.25">
      <c r="C27">
        <f t="shared" si="1"/>
        <v>722.44999999999982</v>
      </c>
      <c r="D27">
        <v>4.12</v>
      </c>
      <c r="F27" t="s">
        <v>100</v>
      </c>
      <c r="G27">
        <f t="shared" si="0"/>
        <v>718.32999999999981</v>
      </c>
    </row>
    <row r="28" spans="1:7" x14ac:dyDescent="0.25">
      <c r="C28">
        <f t="shared" si="1"/>
        <v>718.32999999999981</v>
      </c>
      <c r="D28">
        <v>3.96</v>
      </c>
      <c r="F28" t="s">
        <v>101</v>
      </c>
      <c r="G28">
        <f t="shared" si="0"/>
        <v>714.36999999999978</v>
      </c>
    </row>
    <row r="29" spans="1:7" x14ac:dyDescent="0.25">
      <c r="C29">
        <f t="shared" si="1"/>
        <v>714.36999999999978</v>
      </c>
      <c r="D29">
        <v>29.4</v>
      </c>
      <c r="F29" t="s">
        <v>102</v>
      </c>
      <c r="G29">
        <f t="shared" si="0"/>
        <v>684.9699999999998</v>
      </c>
    </row>
    <row r="30" spans="1:7" x14ac:dyDescent="0.25">
      <c r="C30">
        <f t="shared" si="1"/>
        <v>684.9699999999998</v>
      </c>
      <c r="D30">
        <v>3.37</v>
      </c>
      <c r="E30" t="s">
        <v>103</v>
      </c>
      <c r="F30" t="s">
        <v>104</v>
      </c>
      <c r="G30">
        <f t="shared" si="0"/>
        <v>681.5999999999998</v>
      </c>
    </row>
    <row r="31" spans="1:7" x14ac:dyDescent="0.25">
      <c r="C31">
        <f t="shared" si="1"/>
        <v>681.5999999999998</v>
      </c>
      <c r="D31">
        <v>3.28</v>
      </c>
      <c r="F31" t="s">
        <v>104</v>
      </c>
      <c r="G31">
        <f t="shared" si="0"/>
        <v>678.31999999999982</v>
      </c>
    </row>
    <row r="32" spans="1:7" x14ac:dyDescent="0.25">
      <c r="A32">
        <v>57.3</v>
      </c>
      <c r="B32" t="s">
        <v>210</v>
      </c>
      <c r="C32">
        <f t="shared" si="1"/>
        <v>678.31999999999982</v>
      </c>
      <c r="D32">
        <v>34.54</v>
      </c>
      <c r="F32" t="s">
        <v>105</v>
      </c>
      <c r="G32">
        <f t="shared" si="0"/>
        <v>643.77999999999986</v>
      </c>
    </row>
    <row r="33" spans="3:9" x14ac:dyDescent="0.25">
      <c r="C33">
        <f t="shared" si="1"/>
        <v>643.77999999999986</v>
      </c>
      <c r="D33">
        <v>13.92</v>
      </c>
      <c r="F33" t="s">
        <v>197</v>
      </c>
      <c r="G33">
        <f t="shared" si="0"/>
        <v>629.8599999999999</v>
      </c>
    </row>
    <row r="34" spans="3:9" x14ac:dyDescent="0.25">
      <c r="C34">
        <f t="shared" si="1"/>
        <v>629.8599999999999</v>
      </c>
      <c r="D34">
        <v>11.21</v>
      </c>
      <c r="F34" t="s">
        <v>208</v>
      </c>
      <c r="G34">
        <f t="shared" si="0"/>
        <v>618.64999999999986</v>
      </c>
      <c r="H34" t="s">
        <v>207</v>
      </c>
    </row>
    <row r="35" spans="3:9" x14ac:dyDescent="0.25">
      <c r="C35">
        <f t="shared" si="1"/>
        <v>618.64999999999986</v>
      </c>
      <c r="D35">
        <v>113.42</v>
      </c>
      <c r="E35" s="3">
        <v>46061</v>
      </c>
      <c r="F35" t="s">
        <v>211</v>
      </c>
      <c r="G35">
        <f t="shared" si="0"/>
        <v>505.22999999999985</v>
      </c>
      <c r="H35" t="s">
        <v>213</v>
      </c>
    </row>
    <row r="36" spans="3:9" x14ac:dyDescent="0.25">
      <c r="C36">
        <f t="shared" si="1"/>
        <v>505.22999999999985</v>
      </c>
      <c r="D36">
        <v>2.75</v>
      </c>
      <c r="E36" s="3">
        <v>46064</v>
      </c>
      <c r="F36" t="s">
        <v>55</v>
      </c>
      <c r="G36">
        <f t="shared" si="0"/>
        <v>502.47999999999985</v>
      </c>
      <c r="H36" t="s">
        <v>214</v>
      </c>
    </row>
    <row r="37" spans="3:9" x14ac:dyDescent="0.25">
      <c r="C37">
        <f t="shared" si="1"/>
        <v>502.47999999999985</v>
      </c>
      <c r="D37">
        <v>9</v>
      </c>
      <c r="F37" t="s">
        <v>215</v>
      </c>
      <c r="G37">
        <f t="shared" si="0"/>
        <v>493.47999999999985</v>
      </c>
    </row>
    <row r="38" spans="3:9" x14ac:dyDescent="0.25">
      <c r="C38">
        <f t="shared" si="1"/>
        <v>493.47999999999985</v>
      </c>
      <c r="D38">
        <v>1.2</v>
      </c>
      <c r="F38" t="s">
        <v>216</v>
      </c>
      <c r="G38">
        <f t="shared" si="0"/>
        <v>492.27999999999986</v>
      </c>
      <c r="H38" t="s">
        <v>217</v>
      </c>
    </row>
    <row r="39" spans="3:9" x14ac:dyDescent="0.25">
      <c r="C39">
        <f t="shared" si="1"/>
        <v>492.27999999999986</v>
      </c>
      <c r="D39">
        <v>23.47</v>
      </c>
      <c r="F39" t="s">
        <v>218</v>
      </c>
      <c r="G39">
        <f t="shared" si="0"/>
        <v>468.80999999999983</v>
      </c>
      <c r="H39" t="s">
        <v>219</v>
      </c>
    </row>
    <row r="40" spans="3:9" x14ac:dyDescent="0.25">
      <c r="C40">
        <f t="shared" si="1"/>
        <v>468.80999999999983</v>
      </c>
      <c r="D40">
        <v>2.82</v>
      </c>
      <c r="F40" t="s">
        <v>220</v>
      </c>
      <c r="G40">
        <f t="shared" si="0"/>
        <v>465.98999999999984</v>
      </c>
      <c r="H40" t="s">
        <v>221</v>
      </c>
    </row>
    <row r="41" spans="3:9" x14ac:dyDescent="0.25">
      <c r="C41">
        <f t="shared" si="1"/>
        <v>465.98999999999984</v>
      </c>
      <c r="D41">
        <v>1</v>
      </c>
      <c r="F41" t="s">
        <v>225</v>
      </c>
      <c r="G41">
        <f t="shared" si="0"/>
        <v>464.98999999999984</v>
      </c>
      <c r="H41" t="s">
        <v>224</v>
      </c>
    </row>
    <row r="42" spans="3:9" x14ac:dyDescent="0.25">
      <c r="C42">
        <f t="shared" si="1"/>
        <v>464.98999999999984</v>
      </c>
      <c r="D42">
        <v>100.6</v>
      </c>
      <c r="E42" s="3">
        <v>46066</v>
      </c>
      <c r="F42" t="s">
        <v>250</v>
      </c>
      <c r="G42">
        <f t="shared" si="0"/>
        <v>364.38999999999987</v>
      </c>
      <c r="H42" t="s">
        <v>251</v>
      </c>
    </row>
    <row r="43" spans="3:9" x14ac:dyDescent="0.25">
      <c r="C43">
        <f t="shared" si="1"/>
        <v>364.38999999999987</v>
      </c>
      <c r="D43">
        <v>0.54</v>
      </c>
      <c r="E43" s="3">
        <v>46252</v>
      </c>
      <c r="F43" t="s">
        <v>295</v>
      </c>
      <c r="G43">
        <f t="shared" si="0"/>
        <v>363.84999999999985</v>
      </c>
      <c r="H43" t="s">
        <v>206</v>
      </c>
      <c r="I43" t="s">
        <v>108</v>
      </c>
    </row>
    <row r="44" spans="3:9" x14ac:dyDescent="0.25">
      <c r="C44">
        <f t="shared" si="1"/>
        <v>363.84999999999985</v>
      </c>
      <c r="D44">
        <v>0.54</v>
      </c>
      <c r="F44" t="s">
        <v>298</v>
      </c>
      <c r="G44">
        <f t="shared" si="0"/>
        <v>363.30999999999983</v>
      </c>
      <c r="H44">
        <v>13</v>
      </c>
    </row>
    <row r="45" spans="3:9" x14ac:dyDescent="0.25">
      <c r="C45">
        <f t="shared" si="1"/>
        <v>363.30999999999983</v>
      </c>
      <c r="D45">
        <v>13.56</v>
      </c>
      <c r="F45" t="s">
        <v>300</v>
      </c>
      <c r="G45">
        <f t="shared" si="0"/>
        <v>349.74999999999983</v>
      </c>
      <c r="H45" t="s">
        <v>282</v>
      </c>
    </row>
    <row r="46" spans="3:9" x14ac:dyDescent="0.25">
      <c r="C46">
        <f t="shared" si="1"/>
        <v>349.74999999999983</v>
      </c>
      <c r="D46">
        <v>0.74</v>
      </c>
      <c r="E46" s="3">
        <v>46077</v>
      </c>
      <c r="F46" t="s">
        <v>353</v>
      </c>
      <c r="G46">
        <f t="shared" si="0"/>
        <v>349.00999999999982</v>
      </c>
    </row>
    <row r="47" spans="3:9" x14ac:dyDescent="0.25">
      <c r="C47">
        <f t="shared" si="1"/>
        <v>349.00999999999982</v>
      </c>
      <c r="D47">
        <v>12</v>
      </c>
      <c r="E47" s="3">
        <v>46088</v>
      </c>
      <c r="F47" t="s">
        <v>377</v>
      </c>
      <c r="G47">
        <f t="shared" si="0"/>
        <v>337.00999999999982</v>
      </c>
      <c r="H47" t="s">
        <v>378</v>
      </c>
    </row>
    <row r="48" spans="3:9" x14ac:dyDescent="0.25">
      <c r="C48">
        <f t="shared" si="1"/>
        <v>337.00999999999982</v>
      </c>
      <c r="D48">
        <v>13.53</v>
      </c>
      <c r="F48" t="s">
        <v>379</v>
      </c>
      <c r="G48">
        <f t="shared" si="0"/>
        <v>323.47999999999985</v>
      </c>
      <c r="H48" t="s">
        <v>378</v>
      </c>
    </row>
    <row r="49" spans="3:8" x14ac:dyDescent="0.25">
      <c r="C49">
        <f t="shared" si="1"/>
        <v>323.47999999999985</v>
      </c>
      <c r="D49">
        <v>1</v>
      </c>
      <c r="E49" s="3">
        <v>46097</v>
      </c>
      <c r="F49" t="s">
        <v>400</v>
      </c>
      <c r="G49">
        <f t="shared" si="0"/>
        <v>322.47999999999985</v>
      </c>
      <c r="H49" t="s">
        <v>360</v>
      </c>
    </row>
    <row r="50" spans="3:8" x14ac:dyDescent="0.25">
      <c r="C50">
        <f t="shared" si="1"/>
        <v>322.47999999999985</v>
      </c>
      <c r="D50">
        <v>5.09</v>
      </c>
      <c r="E50" s="3">
        <v>46114</v>
      </c>
      <c r="F50" t="s">
        <v>411</v>
      </c>
      <c r="G50">
        <f t="shared" si="0"/>
        <v>317.38999999999987</v>
      </c>
      <c r="H50">
        <v>26</v>
      </c>
    </row>
    <row r="51" spans="3:8" x14ac:dyDescent="0.25">
      <c r="C51">
        <f t="shared" si="1"/>
        <v>317.38999999999987</v>
      </c>
      <c r="D51">
        <v>1</v>
      </c>
      <c r="E51" s="3">
        <v>46115</v>
      </c>
      <c r="F51" t="s">
        <v>415</v>
      </c>
      <c r="G51">
        <f t="shared" si="0"/>
        <v>316.38999999999987</v>
      </c>
    </row>
    <row r="52" spans="3:8" x14ac:dyDescent="0.25">
      <c r="C52">
        <f t="shared" si="1"/>
        <v>316.38999999999987</v>
      </c>
      <c r="D52">
        <v>17.46</v>
      </c>
      <c r="E52" s="3">
        <v>46125</v>
      </c>
      <c r="F52" t="s">
        <v>421</v>
      </c>
      <c r="G52">
        <f t="shared" si="0"/>
        <v>298.92999999999989</v>
      </c>
      <c r="H52" t="s">
        <v>378</v>
      </c>
    </row>
    <row r="53" spans="3:8" x14ac:dyDescent="0.25">
      <c r="C53">
        <f t="shared" si="1"/>
        <v>298.92999999999989</v>
      </c>
      <c r="D53">
        <v>35.81</v>
      </c>
      <c r="E53" s="3">
        <v>46130</v>
      </c>
      <c r="F53" t="s">
        <v>435</v>
      </c>
      <c r="G53">
        <f t="shared" si="0"/>
        <v>263.11999999999989</v>
      </c>
      <c r="H53" t="s">
        <v>436</v>
      </c>
    </row>
    <row r="54" spans="3:8" x14ac:dyDescent="0.25">
      <c r="C54">
        <f t="shared" si="1"/>
        <v>263.11999999999989</v>
      </c>
      <c r="D54">
        <v>18.38</v>
      </c>
      <c r="E54" s="3">
        <v>46136</v>
      </c>
      <c r="F54" t="s">
        <v>422</v>
      </c>
      <c r="G54">
        <f t="shared" si="0"/>
        <v>244.7399999999999</v>
      </c>
      <c r="H54" t="s">
        <v>378</v>
      </c>
    </row>
    <row r="55" spans="3:8" x14ac:dyDescent="0.25">
      <c r="C55">
        <f t="shared" si="1"/>
        <v>244.7399999999999</v>
      </c>
      <c r="D55">
        <v>15.39</v>
      </c>
      <c r="F55" t="s">
        <v>441</v>
      </c>
      <c r="G55">
        <f t="shared" si="0"/>
        <v>229.34999999999991</v>
      </c>
      <c r="H55" t="s">
        <v>442</v>
      </c>
    </row>
    <row r="56" spans="3:8" x14ac:dyDescent="0.25">
      <c r="C56">
        <f t="shared" si="1"/>
        <v>229.34999999999991</v>
      </c>
      <c r="D56">
        <v>13.69</v>
      </c>
      <c r="E56" s="3">
        <v>46138</v>
      </c>
      <c r="F56" t="s">
        <v>447</v>
      </c>
      <c r="G56">
        <f t="shared" si="0"/>
        <v>215.65999999999991</v>
      </c>
      <c r="H56" t="s">
        <v>448</v>
      </c>
    </row>
    <row r="57" spans="3:8" x14ac:dyDescent="0.25">
      <c r="C57">
        <f t="shared" si="1"/>
        <v>215.65999999999991</v>
      </c>
      <c r="D57">
        <v>3</v>
      </c>
      <c r="E57" s="3">
        <v>46141</v>
      </c>
      <c r="F57" t="s">
        <v>477</v>
      </c>
      <c r="G57">
        <f t="shared" si="0"/>
        <v>212.65999999999991</v>
      </c>
      <c r="H57" t="s">
        <v>341</v>
      </c>
    </row>
    <row r="58" spans="3:8" x14ac:dyDescent="0.25">
      <c r="C58">
        <f t="shared" si="1"/>
        <v>212.65999999999991</v>
      </c>
      <c r="D58">
        <v>3</v>
      </c>
      <c r="F58" t="s">
        <v>478</v>
      </c>
      <c r="G58">
        <f t="shared" si="0"/>
        <v>209.65999999999991</v>
      </c>
    </row>
    <row r="59" spans="3:8" x14ac:dyDescent="0.25">
      <c r="C59">
        <f t="shared" si="1"/>
        <v>209.65999999999991</v>
      </c>
      <c r="D59">
        <v>10.63</v>
      </c>
      <c r="F59" t="s">
        <v>479</v>
      </c>
      <c r="G59">
        <f t="shared" si="0"/>
        <v>199.02999999999992</v>
      </c>
      <c r="H59" t="s">
        <v>480</v>
      </c>
    </row>
    <row r="60" spans="3:8" x14ac:dyDescent="0.25">
      <c r="C60">
        <f t="shared" si="1"/>
        <v>199.02999999999992</v>
      </c>
      <c r="D60">
        <v>26.29</v>
      </c>
      <c r="E60" s="3">
        <v>46148</v>
      </c>
      <c r="F60" t="s">
        <v>487</v>
      </c>
      <c r="G60">
        <f t="shared" si="0"/>
        <v>172.73999999999992</v>
      </c>
      <c r="H60" t="s">
        <v>488</v>
      </c>
    </row>
    <row r="61" spans="3:8" x14ac:dyDescent="0.25">
      <c r="C61">
        <f t="shared" si="1"/>
        <v>172.73999999999992</v>
      </c>
      <c r="D61">
        <v>6</v>
      </c>
      <c r="E61" s="3">
        <v>46148</v>
      </c>
      <c r="F61" t="s">
        <v>491</v>
      </c>
      <c r="G61">
        <f t="shared" si="0"/>
        <v>166.73999999999992</v>
      </c>
    </row>
    <row r="62" spans="3:8" x14ac:dyDescent="0.25">
      <c r="C62">
        <f t="shared" si="1"/>
        <v>166.73999999999992</v>
      </c>
      <c r="D62">
        <v>26.37</v>
      </c>
      <c r="F62" t="s">
        <v>492</v>
      </c>
      <c r="G62">
        <f t="shared" si="0"/>
        <v>140.36999999999992</v>
      </c>
      <c r="H62" t="s">
        <v>493</v>
      </c>
    </row>
    <row r="63" spans="3:8" x14ac:dyDescent="0.25">
      <c r="C63">
        <f t="shared" si="1"/>
        <v>140.36999999999992</v>
      </c>
      <c r="D63">
        <v>4.13</v>
      </c>
      <c r="E63" s="3">
        <v>46151</v>
      </c>
      <c r="F63" t="s">
        <v>496</v>
      </c>
      <c r="G63">
        <f t="shared" si="0"/>
        <v>136.23999999999992</v>
      </c>
      <c r="H63" t="s">
        <v>378</v>
      </c>
    </row>
    <row r="64" spans="3:8" x14ac:dyDescent="0.25">
      <c r="C64">
        <f t="shared" si="1"/>
        <v>136.23999999999992</v>
      </c>
      <c r="D64">
        <v>14.89</v>
      </c>
      <c r="E64" s="3">
        <v>46153</v>
      </c>
      <c r="F64" t="s">
        <v>503</v>
      </c>
      <c r="G64">
        <f t="shared" si="0"/>
        <v>121.34999999999992</v>
      </c>
      <c r="H64" t="s">
        <v>439</v>
      </c>
    </row>
    <row r="65" spans="2:9" x14ac:dyDescent="0.25">
      <c r="C65">
        <f t="shared" si="1"/>
        <v>121.34999999999992</v>
      </c>
      <c r="D65">
        <v>4.3600000000000003</v>
      </c>
      <c r="E65" s="3">
        <v>46154</v>
      </c>
      <c r="F65" t="s">
        <v>508</v>
      </c>
      <c r="G65">
        <f t="shared" si="0"/>
        <v>116.98999999999992</v>
      </c>
      <c r="H65" t="s">
        <v>378</v>
      </c>
    </row>
    <row r="66" spans="2:9" x14ac:dyDescent="0.25">
      <c r="C66">
        <f t="shared" si="1"/>
        <v>116.98999999999992</v>
      </c>
      <c r="D66">
        <v>20.09</v>
      </c>
      <c r="F66" t="s">
        <v>509</v>
      </c>
      <c r="G66">
        <f t="shared" si="0"/>
        <v>96.89999999999992</v>
      </c>
    </row>
    <row r="67" spans="2:9" x14ac:dyDescent="0.25">
      <c r="C67">
        <f t="shared" si="1"/>
        <v>96.89999999999992</v>
      </c>
      <c r="D67">
        <v>15</v>
      </c>
      <c r="F67" t="s">
        <v>510</v>
      </c>
      <c r="G67">
        <f t="shared" si="0"/>
        <v>81.89999999999992</v>
      </c>
      <c r="H67" t="s">
        <v>378</v>
      </c>
    </row>
    <row r="68" spans="2:9" x14ac:dyDescent="0.25">
      <c r="C68">
        <f t="shared" si="1"/>
        <v>81.89999999999992</v>
      </c>
      <c r="D68">
        <v>2.17</v>
      </c>
      <c r="E68" s="3">
        <v>46160</v>
      </c>
      <c r="F68" t="s">
        <v>544</v>
      </c>
      <c r="G68">
        <f t="shared" si="0"/>
        <v>79.729999999999919</v>
      </c>
      <c r="H68">
        <v>10</v>
      </c>
    </row>
    <row r="69" spans="2:9" x14ac:dyDescent="0.25">
      <c r="C69">
        <f t="shared" si="1"/>
        <v>79.729999999999919</v>
      </c>
      <c r="D69">
        <v>27.14</v>
      </c>
      <c r="E69" s="3">
        <v>46162</v>
      </c>
      <c r="F69" t="s">
        <v>547</v>
      </c>
      <c r="G69">
        <f t="shared" si="0"/>
        <v>52.589999999999918</v>
      </c>
      <c r="H69" t="s">
        <v>390</v>
      </c>
    </row>
    <row r="70" spans="2:9" x14ac:dyDescent="0.25">
      <c r="C70">
        <f t="shared" si="1"/>
        <v>52.589999999999918</v>
      </c>
      <c r="D70">
        <v>0.5</v>
      </c>
      <c r="E70" s="3">
        <v>46163</v>
      </c>
      <c r="F70" t="s">
        <v>553</v>
      </c>
      <c r="G70">
        <f t="shared" si="0"/>
        <v>52.089999999999918</v>
      </c>
    </row>
    <row r="71" spans="2:9" x14ac:dyDescent="0.25">
      <c r="C71">
        <f t="shared" si="1"/>
        <v>52.089999999999918</v>
      </c>
      <c r="D71">
        <v>37.72</v>
      </c>
      <c r="F71" t="s">
        <v>554</v>
      </c>
      <c r="G71">
        <f t="shared" ref="G71:G82" si="2">C71-D71</f>
        <v>14.369999999999919</v>
      </c>
      <c r="H71" t="s">
        <v>390</v>
      </c>
      <c r="I71" t="s">
        <v>76</v>
      </c>
    </row>
    <row r="72" spans="2:9" x14ac:dyDescent="0.25">
      <c r="B72" t="s">
        <v>556</v>
      </c>
      <c r="C72">
        <v>95</v>
      </c>
      <c r="D72">
        <v>12.94</v>
      </c>
      <c r="E72" s="3">
        <v>46164</v>
      </c>
      <c r="F72" t="s">
        <v>555</v>
      </c>
      <c r="G72">
        <f t="shared" si="2"/>
        <v>82.06</v>
      </c>
      <c r="H72" t="s">
        <v>378</v>
      </c>
    </row>
    <row r="73" spans="2:9" x14ac:dyDescent="0.25">
      <c r="C73">
        <f t="shared" ref="C73:C81" si="3">G72</f>
        <v>82.06</v>
      </c>
      <c r="D73">
        <v>22.94</v>
      </c>
      <c r="F73" t="s">
        <v>557</v>
      </c>
      <c r="G73">
        <f t="shared" si="2"/>
        <v>59.120000000000005</v>
      </c>
      <c r="H73" t="s">
        <v>378</v>
      </c>
    </row>
    <row r="74" spans="2:9" x14ac:dyDescent="0.25">
      <c r="C74">
        <f t="shared" si="3"/>
        <v>59.120000000000005</v>
      </c>
      <c r="D74">
        <v>18.7</v>
      </c>
      <c r="F74" t="s">
        <v>558</v>
      </c>
      <c r="G74">
        <f t="shared" si="2"/>
        <v>40.42</v>
      </c>
    </row>
    <row r="75" spans="2:9" x14ac:dyDescent="0.25">
      <c r="C75">
        <f t="shared" si="3"/>
        <v>40.42</v>
      </c>
      <c r="D75">
        <v>1.2</v>
      </c>
      <c r="F75" t="s">
        <v>559</v>
      </c>
      <c r="G75">
        <f t="shared" si="2"/>
        <v>39.22</v>
      </c>
    </row>
    <row r="76" spans="2:9" x14ac:dyDescent="0.25">
      <c r="C76">
        <f t="shared" si="3"/>
        <v>39.22</v>
      </c>
      <c r="D76">
        <v>13.87</v>
      </c>
      <c r="E76" s="3">
        <v>46168</v>
      </c>
      <c r="F76" t="s">
        <v>447</v>
      </c>
      <c r="G76">
        <f t="shared" si="2"/>
        <v>25.35</v>
      </c>
      <c r="H76" t="s">
        <v>569</v>
      </c>
    </row>
    <row r="77" spans="2:9" x14ac:dyDescent="0.25">
      <c r="C77">
        <f t="shared" si="3"/>
        <v>25.35</v>
      </c>
      <c r="D77">
        <v>2.76</v>
      </c>
      <c r="E77" s="3">
        <v>46173</v>
      </c>
      <c r="F77" t="s">
        <v>595</v>
      </c>
      <c r="G77">
        <f t="shared" si="2"/>
        <v>22.590000000000003</v>
      </c>
      <c r="H77" t="s">
        <v>285</v>
      </c>
    </row>
    <row r="78" spans="2:9" x14ac:dyDescent="0.25">
      <c r="C78">
        <f t="shared" si="3"/>
        <v>22.590000000000003</v>
      </c>
      <c r="D78">
        <v>0.86</v>
      </c>
      <c r="F78" t="s">
        <v>596</v>
      </c>
      <c r="G78">
        <f t="shared" si="2"/>
        <v>21.730000000000004</v>
      </c>
    </row>
    <row r="79" spans="2:9" x14ac:dyDescent="0.25">
      <c r="C79">
        <f t="shared" si="3"/>
        <v>21.730000000000004</v>
      </c>
      <c r="D79">
        <v>0.91</v>
      </c>
      <c r="F79" t="s">
        <v>596</v>
      </c>
      <c r="G79">
        <f t="shared" si="2"/>
        <v>20.820000000000004</v>
      </c>
    </row>
    <row r="80" spans="2:9" x14ac:dyDescent="0.25">
      <c r="C80">
        <f t="shared" si="3"/>
        <v>20.820000000000004</v>
      </c>
      <c r="G80">
        <f t="shared" si="2"/>
        <v>20.820000000000004</v>
      </c>
    </row>
    <row r="81" spans="3:7" x14ac:dyDescent="0.25">
      <c r="C81">
        <f t="shared" si="3"/>
        <v>20.820000000000004</v>
      </c>
      <c r="G81">
        <f t="shared" si="2"/>
        <v>20.820000000000004</v>
      </c>
    </row>
    <row r="82" spans="3:7" x14ac:dyDescent="0.25">
      <c r="G82">
        <f t="shared" si="2"/>
        <v>0</v>
      </c>
    </row>
  </sheetData>
  <hyperlinks>
    <hyperlink ref="A3" location="SHORTCUTS!A1" display="SHORTCUTS" xr:uid="{5C637F9E-C295-4FD9-94BF-8BD13B9470B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D56B-D365-4DB6-8A93-30FC5B36FD6F}">
  <dimension ref="A1:L84"/>
  <sheetViews>
    <sheetView workbookViewId="0">
      <selection activeCell="A4" sqref="A4"/>
    </sheetView>
  </sheetViews>
  <sheetFormatPr baseColWidth="10" defaultRowHeight="15" x14ac:dyDescent="0.25"/>
  <cols>
    <col min="6" max="6" width="40.85546875" bestFit="1" customWidth="1"/>
  </cols>
  <sheetData>
    <row r="1" spans="1:12" x14ac:dyDescent="0.25">
      <c r="A1" t="s">
        <v>106</v>
      </c>
    </row>
    <row r="2" spans="1:12" x14ac:dyDescent="0.25"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</row>
    <row r="3" spans="1:12" x14ac:dyDescent="0.25">
      <c r="A3" t="s">
        <v>107</v>
      </c>
      <c r="B3">
        <v>275</v>
      </c>
      <c r="C3">
        <v>1000</v>
      </c>
      <c r="D3">
        <v>12.68</v>
      </c>
      <c r="E3" s="1">
        <v>46055</v>
      </c>
      <c r="F3" t="s">
        <v>43</v>
      </c>
      <c r="G3">
        <f>C3-D3</f>
        <v>987.32</v>
      </c>
      <c r="H3" t="s">
        <v>108</v>
      </c>
      <c r="K3" t="s">
        <v>109</v>
      </c>
      <c r="L3">
        <v>1.75</v>
      </c>
    </row>
    <row r="4" spans="1:12" x14ac:dyDescent="0.25">
      <c r="A4" s="6" t="s">
        <v>304</v>
      </c>
      <c r="C4">
        <v>1000</v>
      </c>
      <c r="D4">
        <v>12.68</v>
      </c>
      <c r="F4" t="s">
        <v>112</v>
      </c>
      <c r="G4">
        <f t="shared" ref="G4:G67" si="0">C4-D4</f>
        <v>987.32</v>
      </c>
      <c r="H4" t="s">
        <v>108</v>
      </c>
      <c r="K4" t="s">
        <v>110</v>
      </c>
    </row>
    <row r="5" spans="1:12" x14ac:dyDescent="0.25">
      <c r="A5" t="s">
        <v>116</v>
      </c>
      <c r="C5">
        <f>G4</f>
        <v>987.32</v>
      </c>
      <c r="D5">
        <v>16.09</v>
      </c>
      <c r="F5" t="s">
        <v>111</v>
      </c>
      <c r="G5">
        <f t="shared" si="0"/>
        <v>971.23</v>
      </c>
      <c r="H5" t="s">
        <v>108</v>
      </c>
    </row>
    <row r="6" spans="1:12" x14ac:dyDescent="0.25">
      <c r="C6">
        <f t="shared" ref="C6:C70" si="1">G5</f>
        <v>971.23</v>
      </c>
      <c r="D6">
        <v>16.09</v>
      </c>
      <c r="F6" t="s">
        <v>113</v>
      </c>
      <c r="G6">
        <f t="shared" si="0"/>
        <v>955.14</v>
      </c>
      <c r="H6" t="s">
        <v>108</v>
      </c>
    </row>
    <row r="7" spans="1:12" x14ac:dyDescent="0.25">
      <c r="C7">
        <f t="shared" si="1"/>
        <v>955.14</v>
      </c>
      <c r="D7">
        <v>1.74</v>
      </c>
      <c r="F7" t="s">
        <v>114</v>
      </c>
      <c r="G7">
        <f t="shared" si="0"/>
        <v>953.4</v>
      </c>
    </row>
    <row r="8" spans="1:12" x14ac:dyDescent="0.25">
      <c r="C8">
        <f t="shared" si="1"/>
        <v>953.4</v>
      </c>
      <c r="D8">
        <v>0.43</v>
      </c>
      <c r="F8" t="s">
        <v>115</v>
      </c>
      <c r="G8">
        <f t="shared" si="0"/>
        <v>952.97</v>
      </c>
      <c r="L8">
        <f>1.75*0.275</f>
        <v>0.48125000000000007</v>
      </c>
    </row>
    <row r="9" spans="1:12" x14ac:dyDescent="0.25">
      <c r="C9">
        <f t="shared" si="1"/>
        <v>952.97</v>
      </c>
      <c r="D9">
        <v>0.82</v>
      </c>
      <c r="F9" t="s">
        <v>48</v>
      </c>
      <c r="G9">
        <f t="shared" si="0"/>
        <v>952.15</v>
      </c>
    </row>
    <row r="10" spans="1:12" x14ac:dyDescent="0.25">
      <c r="C10">
        <f t="shared" si="1"/>
        <v>952.15</v>
      </c>
      <c r="D10">
        <v>0.82</v>
      </c>
      <c r="F10" t="s">
        <v>48</v>
      </c>
      <c r="G10">
        <f t="shared" si="0"/>
        <v>951.32999999999993</v>
      </c>
      <c r="J10">
        <f>SUM(D12:D43)</f>
        <v>97.950000000000017</v>
      </c>
    </row>
    <row r="11" spans="1:12" x14ac:dyDescent="0.25">
      <c r="C11">
        <f t="shared" si="1"/>
        <v>951.32999999999993</v>
      </c>
      <c r="D11">
        <v>13.34</v>
      </c>
      <c r="F11" t="s">
        <v>117</v>
      </c>
      <c r="G11">
        <f t="shared" si="0"/>
        <v>937.9899999999999</v>
      </c>
    </row>
    <row r="12" spans="1:12" x14ac:dyDescent="0.25">
      <c r="C12">
        <f t="shared" si="1"/>
        <v>937.9899999999999</v>
      </c>
      <c r="D12">
        <v>0.27</v>
      </c>
      <c r="F12" t="s">
        <v>118</v>
      </c>
      <c r="G12">
        <f t="shared" si="0"/>
        <v>937.71999999999991</v>
      </c>
    </row>
    <row r="13" spans="1:12" x14ac:dyDescent="0.25">
      <c r="C13">
        <f t="shared" si="1"/>
        <v>937.71999999999991</v>
      </c>
      <c r="D13">
        <v>1</v>
      </c>
      <c r="E13" s="3">
        <v>46056</v>
      </c>
      <c r="F13" t="s">
        <v>119</v>
      </c>
      <c r="G13">
        <f t="shared" si="0"/>
        <v>936.71999999999991</v>
      </c>
    </row>
    <row r="14" spans="1:12" x14ac:dyDescent="0.25">
      <c r="C14">
        <f t="shared" si="1"/>
        <v>936.71999999999991</v>
      </c>
      <c r="D14">
        <v>0.22</v>
      </c>
      <c r="G14">
        <f t="shared" si="0"/>
        <v>936.49999999999989</v>
      </c>
    </row>
    <row r="15" spans="1:12" x14ac:dyDescent="0.25">
      <c r="C15">
        <f t="shared" si="1"/>
        <v>936.49999999999989</v>
      </c>
      <c r="D15">
        <v>0.21</v>
      </c>
      <c r="F15" t="s">
        <v>120</v>
      </c>
      <c r="G15">
        <f t="shared" si="0"/>
        <v>936.28999999999985</v>
      </c>
    </row>
    <row r="16" spans="1:12" x14ac:dyDescent="0.25">
      <c r="C16">
        <f t="shared" si="1"/>
        <v>936.28999999999985</v>
      </c>
      <c r="D16">
        <v>0.42</v>
      </c>
      <c r="E16" t="s">
        <v>108</v>
      </c>
      <c r="F16" t="s">
        <v>121</v>
      </c>
      <c r="G16">
        <f t="shared" si="0"/>
        <v>935.86999999999989</v>
      </c>
    </row>
    <row r="17" spans="3:8" x14ac:dyDescent="0.25">
      <c r="C17">
        <f t="shared" si="1"/>
        <v>935.86999999999989</v>
      </c>
      <c r="D17">
        <v>0.42</v>
      </c>
      <c r="E17" t="s">
        <v>108</v>
      </c>
      <c r="F17" t="s">
        <v>122</v>
      </c>
      <c r="G17">
        <f t="shared" si="0"/>
        <v>935.44999999999993</v>
      </c>
    </row>
    <row r="18" spans="3:8" x14ac:dyDescent="0.25">
      <c r="C18">
        <f t="shared" si="1"/>
        <v>935.44999999999993</v>
      </c>
      <c r="D18">
        <v>0.42</v>
      </c>
      <c r="E18" t="s">
        <v>108</v>
      </c>
      <c r="F18" t="s">
        <v>123</v>
      </c>
      <c r="G18">
        <f t="shared" si="0"/>
        <v>935.03</v>
      </c>
    </row>
    <row r="19" spans="3:8" x14ac:dyDescent="0.25">
      <c r="C19">
        <f t="shared" si="1"/>
        <v>935.03</v>
      </c>
      <c r="D19">
        <v>0.28000000000000003</v>
      </c>
      <c r="F19" t="s">
        <v>124</v>
      </c>
      <c r="G19">
        <f t="shared" si="0"/>
        <v>934.75</v>
      </c>
    </row>
    <row r="20" spans="3:8" x14ac:dyDescent="0.25">
      <c r="C20">
        <f t="shared" si="1"/>
        <v>934.75</v>
      </c>
      <c r="D20">
        <v>0.67</v>
      </c>
      <c r="F20" t="s">
        <v>125</v>
      </c>
      <c r="G20">
        <f t="shared" si="0"/>
        <v>934.08</v>
      </c>
    </row>
    <row r="21" spans="3:8" x14ac:dyDescent="0.25">
      <c r="C21">
        <f t="shared" si="1"/>
        <v>934.08</v>
      </c>
      <c r="D21">
        <v>0.68</v>
      </c>
      <c r="F21" t="s">
        <v>126</v>
      </c>
      <c r="G21">
        <f t="shared" si="0"/>
        <v>933.40000000000009</v>
      </c>
    </row>
    <row r="22" spans="3:8" x14ac:dyDescent="0.25">
      <c r="C22">
        <f t="shared" si="1"/>
        <v>933.40000000000009</v>
      </c>
      <c r="D22">
        <v>0.73</v>
      </c>
      <c r="F22" t="s">
        <v>127</v>
      </c>
      <c r="G22">
        <f t="shared" si="0"/>
        <v>932.67000000000007</v>
      </c>
    </row>
    <row r="23" spans="3:8" x14ac:dyDescent="0.25">
      <c r="C23">
        <f t="shared" si="1"/>
        <v>932.67000000000007</v>
      </c>
      <c r="D23">
        <v>2.02</v>
      </c>
      <c r="F23" t="s">
        <v>128</v>
      </c>
      <c r="G23">
        <f t="shared" si="0"/>
        <v>930.65000000000009</v>
      </c>
    </row>
    <row r="24" spans="3:8" x14ac:dyDescent="0.25">
      <c r="C24">
        <f t="shared" si="1"/>
        <v>930.65000000000009</v>
      </c>
      <c r="D24">
        <v>3.28</v>
      </c>
      <c r="F24" t="s">
        <v>129</v>
      </c>
      <c r="G24">
        <f t="shared" si="0"/>
        <v>927.37000000000012</v>
      </c>
    </row>
    <row r="25" spans="3:8" x14ac:dyDescent="0.25">
      <c r="C25">
        <f t="shared" si="1"/>
        <v>927.37000000000012</v>
      </c>
      <c r="D25">
        <v>13.74</v>
      </c>
      <c r="F25" s="5" t="s">
        <v>130</v>
      </c>
      <c r="G25">
        <f t="shared" si="0"/>
        <v>913.63000000000011</v>
      </c>
    </row>
    <row r="26" spans="3:8" x14ac:dyDescent="0.25">
      <c r="C26">
        <f t="shared" si="1"/>
        <v>913.63000000000011</v>
      </c>
      <c r="D26">
        <v>10.6</v>
      </c>
      <c r="F26" t="s">
        <v>131</v>
      </c>
      <c r="G26">
        <f t="shared" si="0"/>
        <v>903.03000000000009</v>
      </c>
    </row>
    <row r="27" spans="3:8" x14ac:dyDescent="0.25">
      <c r="C27">
        <f t="shared" si="1"/>
        <v>903.03000000000009</v>
      </c>
      <c r="D27">
        <v>0.43</v>
      </c>
      <c r="F27" t="s">
        <v>132</v>
      </c>
      <c r="G27">
        <f t="shared" si="0"/>
        <v>902.60000000000014</v>
      </c>
    </row>
    <row r="28" spans="3:8" x14ac:dyDescent="0.25">
      <c r="C28">
        <f t="shared" si="1"/>
        <v>902.60000000000014</v>
      </c>
      <c r="D28">
        <v>11.48</v>
      </c>
      <c r="F28" t="s">
        <v>133</v>
      </c>
      <c r="G28">
        <f t="shared" si="0"/>
        <v>891.12000000000012</v>
      </c>
    </row>
    <row r="29" spans="3:8" x14ac:dyDescent="0.25">
      <c r="C29">
        <f t="shared" si="1"/>
        <v>891.12000000000012</v>
      </c>
      <c r="D29">
        <v>11.25</v>
      </c>
      <c r="F29" t="s">
        <v>134</v>
      </c>
      <c r="G29">
        <f t="shared" si="0"/>
        <v>879.87000000000012</v>
      </c>
      <c r="H29" t="s">
        <v>108</v>
      </c>
    </row>
    <row r="30" spans="3:8" x14ac:dyDescent="0.25">
      <c r="C30">
        <f t="shared" si="1"/>
        <v>879.87000000000012</v>
      </c>
      <c r="D30">
        <v>11.29</v>
      </c>
      <c r="F30" t="s">
        <v>135</v>
      </c>
      <c r="G30">
        <f t="shared" si="0"/>
        <v>868.58000000000015</v>
      </c>
    </row>
    <row r="31" spans="3:8" x14ac:dyDescent="0.25">
      <c r="C31">
        <f t="shared" si="1"/>
        <v>868.58000000000015</v>
      </c>
      <c r="D31">
        <v>7.97</v>
      </c>
      <c r="F31" t="s">
        <v>134</v>
      </c>
      <c r="G31">
        <f t="shared" si="0"/>
        <v>860.61000000000013</v>
      </c>
    </row>
    <row r="32" spans="3:8" x14ac:dyDescent="0.25">
      <c r="C32">
        <f t="shared" si="1"/>
        <v>860.61000000000013</v>
      </c>
      <c r="D32">
        <v>5.17</v>
      </c>
      <c r="F32" t="s">
        <v>136</v>
      </c>
      <c r="G32">
        <f t="shared" si="0"/>
        <v>855.44000000000017</v>
      </c>
    </row>
    <row r="33" spans="1:9" x14ac:dyDescent="0.25">
      <c r="A33" t="s">
        <v>169</v>
      </c>
      <c r="B33">
        <f>SUM(D25,D26,D27,D28,D43)</f>
        <v>37.31</v>
      </c>
      <c r="C33">
        <f t="shared" si="1"/>
        <v>855.44000000000017</v>
      </c>
      <c r="D33">
        <v>2.64</v>
      </c>
      <c r="F33" t="s">
        <v>137</v>
      </c>
      <c r="G33">
        <f t="shared" si="0"/>
        <v>852.80000000000018</v>
      </c>
    </row>
    <row r="34" spans="1:9" x14ac:dyDescent="0.25">
      <c r="C34">
        <f t="shared" si="1"/>
        <v>852.80000000000018</v>
      </c>
      <c r="D34">
        <v>1.68</v>
      </c>
      <c r="E34" s="3">
        <v>46057</v>
      </c>
      <c r="F34" t="s">
        <v>138</v>
      </c>
      <c r="G34">
        <f t="shared" si="0"/>
        <v>851.12000000000023</v>
      </c>
    </row>
    <row r="35" spans="1:9" x14ac:dyDescent="0.25">
      <c r="C35">
        <f t="shared" si="1"/>
        <v>851.12000000000023</v>
      </c>
      <c r="D35">
        <v>1.68</v>
      </c>
      <c r="F35" t="s">
        <v>139</v>
      </c>
      <c r="G35">
        <f t="shared" si="0"/>
        <v>849.44000000000028</v>
      </c>
    </row>
    <row r="36" spans="1:9" x14ac:dyDescent="0.25">
      <c r="C36">
        <f t="shared" si="1"/>
        <v>849.44000000000028</v>
      </c>
      <c r="D36">
        <v>1.68</v>
      </c>
      <c r="F36" t="s">
        <v>140</v>
      </c>
      <c r="G36">
        <f t="shared" si="0"/>
        <v>847.76000000000033</v>
      </c>
    </row>
    <row r="37" spans="1:9" x14ac:dyDescent="0.25">
      <c r="C37">
        <f t="shared" si="1"/>
        <v>847.76000000000033</v>
      </c>
      <c r="D37">
        <v>0.84</v>
      </c>
      <c r="F37" t="s">
        <v>141</v>
      </c>
      <c r="G37">
        <f t="shared" si="0"/>
        <v>846.9200000000003</v>
      </c>
    </row>
    <row r="38" spans="1:9" x14ac:dyDescent="0.25">
      <c r="C38">
        <f t="shared" si="1"/>
        <v>846.9200000000003</v>
      </c>
      <c r="D38">
        <v>0.87</v>
      </c>
      <c r="F38" t="s">
        <v>142</v>
      </c>
      <c r="G38">
        <f t="shared" si="0"/>
        <v>846.0500000000003</v>
      </c>
    </row>
    <row r="39" spans="1:9" x14ac:dyDescent="0.25">
      <c r="C39">
        <f t="shared" si="1"/>
        <v>846.0500000000003</v>
      </c>
      <c r="D39">
        <v>0.88</v>
      </c>
      <c r="F39" t="s">
        <v>143</v>
      </c>
      <c r="G39">
        <f t="shared" si="0"/>
        <v>845.1700000000003</v>
      </c>
    </row>
    <row r="40" spans="1:9" x14ac:dyDescent="0.25">
      <c r="C40">
        <f t="shared" si="1"/>
        <v>845.1700000000003</v>
      </c>
      <c r="D40">
        <v>1.07</v>
      </c>
      <c r="F40" t="s">
        <v>144</v>
      </c>
      <c r="G40">
        <f t="shared" si="0"/>
        <v>844.10000000000025</v>
      </c>
    </row>
    <row r="41" spans="1:9" x14ac:dyDescent="0.25">
      <c r="C41">
        <f t="shared" si="1"/>
        <v>844.10000000000025</v>
      </c>
      <c r="D41">
        <v>1</v>
      </c>
      <c r="F41" t="s">
        <v>145</v>
      </c>
      <c r="G41">
        <f t="shared" si="0"/>
        <v>843.10000000000025</v>
      </c>
    </row>
    <row r="42" spans="1:9" x14ac:dyDescent="0.25">
      <c r="C42">
        <f t="shared" si="1"/>
        <v>843.10000000000025</v>
      </c>
      <c r="D42">
        <v>2</v>
      </c>
      <c r="F42" t="s">
        <v>146</v>
      </c>
      <c r="G42">
        <f t="shared" si="0"/>
        <v>841.10000000000025</v>
      </c>
    </row>
    <row r="43" spans="1:9" x14ac:dyDescent="0.25">
      <c r="C43">
        <f t="shared" si="1"/>
        <v>841.10000000000025</v>
      </c>
      <c r="D43">
        <v>1.06</v>
      </c>
      <c r="F43" t="s">
        <v>147</v>
      </c>
      <c r="G43">
        <f t="shared" si="0"/>
        <v>840.0400000000003</v>
      </c>
    </row>
    <row r="44" spans="1:9" x14ac:dyDescent="0.25">
      <c r="C44">
        <f t="shared" si="1"/>
        <v>840.0400000000003</v>
      </c>
      <c r="D44">
        <v>20.34</v>
      </c>
      <c r="F44" t="s">
        <v>148</v>
      </c>
      <c r="G44">
        <f t="shared" si="0"/>
        <v>819.70000000000027</v>
      </c>
      <c r="I44">
        <f>0.275*20.34</f>
        <v>5.5935000000000006</v>
      </c>
    </row>
    <row r="45" spans="1:9" x14ac:dyDescent="0.25">
      <c r="C45">
        <f t="shared" si="1"/>
        <v>819.70000000000027</v>
      </c>
      <c r="D45">
        <v>8.56</v>
      </c>
      <c r="F45" t="s">
        <v>149</v>
      </c>
      <c r="G45">
        <f t="shared" si="0"/>
        <v>811.14000000000033</v>
      </c>
    </row>
    <row r="46" spans="1:9" x14ac:dyDescent="0.25">
      <c r="C46">
        <f t="shared" si="1"/>
        <v>811.14000000000033</v>
      </c>
      <c r="D46">
        <v>11.37</v>
      </c>
      <c r="F46" t="s">
        <v>150</v>
      </c>
      <c r="G46">
        <f t="shared" si="0"/>
        <v>799.77000000000032</v>
      </c>
    </row>
    <row r="47" spans="1:9" x14ac:dyDescent="0.25">
      <c r="C47">
        <f t="shared" si="1"/>
        <v>799.77000000000032</v>
      </c>
      <c r="D47">
        <v>23</v>
      </c>
      <c r="F47" t="s">
        <v>151</v>
      </c>
      <c r="G47">
        <f t="shared" si="0"/>
        <v>776.77000000000032</v>
      </c>
    </row>
    <row r="48" spans="1:9" x14ac:dyDescent="0.25">
      <c r="A48" t="s">
        <v>170</v>
      </c>
      <c r="B48">
        <f>SUM(D45,D46,D52,D51)</f>
        <v>21.67</v>
      </c>
      <c r="C48">
        <f t="shared" si="1"/>
        <v>776.77000000000032</v>
      </c>
      <c r="D48">
        <v>7.46</v>
      </c>
      <c r="F48" t="s">
        <v>152</v>
      </c>
      <c r="G48">
        <f t="shared" si="0"/>
        <v>769.31000000000029</v>
      </c>
    </row>
    <row r="49" spans="3:9" x14ac:dyDescent="0.25">
      <c r="C49">
        <f t="shared" si="1"/>
        <v>769.31000000000029</v>
      </c>
      <c r="D49">
        <v>0.65</v>
      </c>
      <c r="F49" t="s">
        <v>153</v>
      </c>
      <c r="G49">
        <f t="shared" si="0"/>
        <v>768.66000000000031</v>
      </c>
    </row>
    <row r="50" spans="3:9" x14ac:dyDescent="0.25">
      <c r="C50">
        <f t="shared" si="1"/>
        <v>768.66000000000031</v>
      </c>
      <c r="D50">
        <v>2.31</v>
      </c>
      <c r="F50" t="s">
        <v>154</v>
      </c>
      <c r="G50">
        <f t="shared" si="0"/>
        <v>766.35000000000036</v>
      </c>
    </row>
    <row r="51" spans="3:9" x14ac:dyDescent="0.25">
      <c r="C51">
        <f t="shared" si="1"/>
        <v>766.35000000000036</v>
      </c>
      <c r="D51">
        <v>0.87</v>
      </c>
      <c r="F51" t="s">
        <v>155</v>
      </c>
      <c r="G51">
        <f t="shared" si="0"/>
        <v>765.48000000000036</v>
      </c>
    </row>
    <row r="52" spans="3:9" x14ac:dyDescent="0.25">
      <c r="C52">
        <f t="shared" si="1"/>
        <v>765.48000000000036</v>
      </c>
      <c r="D52">
        <v>0.87</v>
      </c>
      <c r="F52" t="s">
        <v>156</v>
      </c>
      <c r="G52">
        <f t="shared" si="0"/>
        <v>764.61000000000035</v>
      </c>
    </row>
    <row r="53" spans="3:9" x14ac:dyDescent="0.25">
      <c r="C53">
        <f t="shared" si="1"/>
        <v>764.61000000000035</v>
      </c>
      <c r="D53">
        <v>18.36</v>
      </c>
      <c r="F53" t="s">
        <v>201</v>
      </c>
      <c r="G53">
        <f t="shared" si="0"/>
        <v>746.25000000000034</v>
      </c>
      <c r="H53" t="s">
        <v>202</v>
      </c>
    </row>
    <row r="54" spans="3:9" x14ac:dyDescent="0.25">
      <c r="C54">
        <f t="shared" si="1"/>
        <v>746.25000000000034</v>
      </c>
      <c r="D54">
        <v>12.86</v>
      </c>
      <c r="E54" s="3">
        <v>46064</v>
      </c>
      <c r="F54" t="s">
        <v>226</v>
      </c>
      <c r="G54">
        <f t="shared" si="0"/>
        <v>733.39000000000033</v>
      </c>
      <c r="H54" t="s">
        <v>227</v>
      </c>
    </row>
    <row r="55" spans="3:9" x14ac:dyDescent="0.25">
      <c r="C55">
        <f t="shared" si="1"/>
        <v>733.39000000000033</v>
      </c>
      <c r="D55">
        <v>14.27</v>
      </c>
      <c r="F55" t="s">
        <v>228</v>
      </c>
      <c r="G55">
        <f t="shared" si="0"/>
        <v>719.12000000000035</v>
      </c>
      <c r="H55" t="s">
        <v>229</v>
      </c>
    </row>
    <row r="56" spans="3:9" x14ac:dyDescent="0.25">
      <c r="C56">
        <f t="shared" si="1"/>
        <v>719.12000000000035</v>
      </c>
      <c r="D56">
        <v>2</v>
      </c>
      <c r="E56" s="3">
        <v>46065</v>
      </c>
      <c r="F56" t="s">
        <v>232</v>
      </c>
      <c r="G56">
        <f t="shared" si="0"/>
        <v>717.12000000000035</v>
      </c>
      <c r="H56" t="s">
        <v>233</v>
      </c>
    </row>
    <row r="57" spans="3:9" x14ac:dyDescent="0.25">
      <c r="C57">
        <f t="shared" si="1"/>
        <v>717.12000000000035</v>
      </c>
      <c r="D57">
        <v>7.92</v>
      </c>
      <c r="F57" t="s">
        <v>234</v>
      </c>
      <c r="G57">
        <f t="shared" si="0"/>
        <v>709.20000000000039</v>
      </c>
      <c r="H57" t="s">
        <v>235</v>
      </c>
    </row>
    <row r="58" spans="3:9" x14ac:dyDescent="0.25">
      <c r="C58">
        <f t="shared" si="1"/>
        <v>709.20000000000039</v>
      </c>
      <c r="D58">
        <v>27.66</v>
      </c>
      <c r="E58" s="3">
        <v>46066</v>
      </c>
      <c r="F58" t="s">
        <v>252</v>
      </c>
      <c r="G58">
        <f t="shared" si="0"/>
        <v>681.54000000000042</v>
      </c>
      <c r="H58" t="s">
        <v>253</v>
      </c>
      <c r="I58" t="s">
        <v>108</v>
      </c>
    </row>
    <row r="59" spans="3:9" x14ac:dyDescent="0.25">
      <c r="C59">
        <f t="shared" si="1"/>
        <v>681.54000000000042</v>
      </c>
      <c r="D59">
        <v>32.56</v>
      </c>
      <c r="F59" t="s">
        <v>254</v>
      </c>
      <c r="G59">
        <f t="shared" si="0"/>
        <v>648.98000000000047</v>
      </c>
      <c r="H59" t="s">
        <v>255</v>
      </c>
      <c r="I59" t="s">
        <v>108</v>
      </c>
    </row>
    <row r="60" spans="3:9" x14ac:dyDescent="0.25">
      <c r="C60">
        <f t="shared" si="1"/>
        <v>648.98000000000047</v>
      </c>
      <c r="D60">
        <v>34.950000000000003</v>
      </c>
      <c r="F60" t="s">
        <v>256</v>
      </c>
      <c r="G60">
        <f t="shared" si="0"/>
        <v>614.03000000000043</v>
      </c>
      <c r="H60" t="s">
        <v>257</v>
      </c>
    </row>
    <row r="61" spans="3:9" x14ac:dyDescent="0.25">
      <c r="C61">
        <f t="shared" si="1"/>
        <v>614.03000000000043</v>
      </c>
      <c r="D61">
        <v>1</v>
      </c>
      <c r="E61" s="3">
        <v>46077</v>
      </c>
      <c r="F61" t="s">
        <v>340</v>
      </c>
      <c r="G61">
        <f t="shared" si="0"/>
        <v>613.03000000000043</v>
      </c>
      <c r="H61" t="s">
        <v>341</v>
      </c>
    </row>
    <row r="62" spans="3:9" x14ac:dyDescent="0.25">
      <c r="C62">
        <f t="shared" si="1"/>
        <v>613.03000000000043</v>
      </c>
      <c r="D62">
        <v>1.71</v>
      </c>
      <c r="F62" t="s">
        <v>342</v>
      </c>
      <c r="G62">
        <f t="shared" si="0"/>
        <v>611.32000000000039</v>
      </c>
      <c r="H62" t="s">
        <v>343</v>
      </c>
    </row>
    <row r="63" spans="3:9" x14ac:dyDescent="0.25">
      <c r="C63">
        <f t="shared" si="1"/>
        <v>611.32000000000039</v>
      </c>
      <c r="D63">
        <v>37.880000000000003</v>
      </c>
      <c r="F63" t="s">
        <v>356</v>
      </c>
      <c r="G63">
        <f t="shared" si="0"/>
        <v>573.4400000000004</v>
      </c>
      <c r="H63" t="s">
        <v>357</v>
      </c>
    </row>
    <row r="64" spans="3:9" x14ac:dyDescent="0.25">
      <c r="C64">
        <f t="shared" si="1"/>
        <v>573.4400000000004</v>
      </c>
      <c r="D64">
        <v>37.880000000000003</v>
      </c>
      <c r="E64" s="3">
        <v>46078</v>
      </c>
      <c r="F64" t="s">
        <v>358</v>
      </c>
      <c r="G64">
        <f t="shared" si="0"/>
        <v>535.5600000000004</v>
      </c>
      <c r="H64" t="s">
        <v>357</v>
      </c>
    </row>
    <row r="65" spans="3:9" x14ac:dyDescent="0.25">
      <c r="C65">
        <f t="shared" si="1"/>
        <v>535.5600000000004</v>
      </c>
      <c r="D65">
        <v>0.44</v>
      </c>
      <c r="F65" t="s">
        <v>359</v>
      </c>
      <c r="G65">
        <f t="shared" si="0"/>
        <v>535.12000000000035</v>
      </c>
      <c r="H65" t="s">
        <v>360</v>
      </c>
    </row>
    <row r="66" spans="3:9" x14ac:dyDescent="0.25">
      <c r="C66">
        <f t="shared" si="1"/>
        <v>535.12000000000035</v>
      </c>
      <c r="D66">
        <v>0.44</v>
      </c>
      <c r="F66" t="s">
        <v>361</v>
      </c>
      <c r="G66">
        <f t="shared" si="0"/>
        <v>534.68000000000029</v>
      </c>
    </row>
    <row r="67" spans="3:9" x14ac:dyDescent="0.25">
      <c r="C67">
        <f t="shared" si="1"/>
        <v>534.68000000000029</v>
      </c>
      <c r="D67">
        <v>0.49</v>
      </c>
      <c r="F67" t="s">
        <v>362</v>
      </c>
      <c r="G67">
        <f t="shared" si="0"/>
        <v>534.19000000000028</v>
      </c>
    </row>
    <row r="68" spans="3:9" x14ac:dyDescent="0.25">
      <c r="C68">
        <f t="shared" si="1"/>
        <v>534.19000000000028</v>
      </c>
      <c r="D68">
        <v>61</v>
      </c>
      <c r="F68" t="s">
        <v>363</v>
      </c>
      <c r="G68">
        <f>C68-D68</f>
        <v>473.19000000000028</v>
      </c>
      <c r="H68" t="s">
        <v>364</v>
      </c>
    </row>
    <row r="69" spans="3:9" x14ac:dyDescent="0.25">
      <c r="C69">
        <f t="shared" si="1"/>
        <v>473.19000000000028</v>
      </c>
      <c r="D69">
        <v>72.62</v>
      </c>
      <c r="F69" t="s">
        <v>365</v>
      </c>
      <c r="G69">
        <f>C69-D69</f>
        <v>400.57000000000028</v>
      </c>
      <c r="H69" t="s">
        <v>332</v>
      </c>
    </row>
    <row r="70" spans="3:9" x14ac:dyDescent="0.25">
      <c r="C70">
        <f t="shared" si="1"/>
        <v>400.57000000000028</v>
      </c>
      <c r="D70">
        <v>39.43</v>
      </c>
      <c r="E70" s="3">
        <v>46079</v>
      </c>
      <c r="F70" t="s">
        <v>366</v>
      </c>
      <c r="G70">
        <f>C70-D70</f>
        <v>361.14000000000027</v>
      </c>
      <c r="H70" t="s">
        <v>364</v>
      </c>
      <c r="I70" t="s">
        <v>108</v>
      </c>
    </row>
    <row r="71" spans="3:9" x14ac:dyDescent="0.25">
      <c r="C71">
        <f t="shared" ref="C71:C84" si="2">G70</f>
        <v>361.14000000000027</v>
      </c>
      <c r="D71">
        <v>39.75</v>
      </c>
      <c r="F71" t="s">
        <v>367</v>
      </c>
      <c r="G71">
        <f t="shared" ref="G71:G84" si="3">C71-D71</f>
        <v>321.39000000000027</v>
      </c>
      <c r="H71" t="s">
        <v>357</v>
      </c>
    </row>
    <row r="72" spans="3:9" x14ac:dyDescent="0.25">
      <c r="C72">
        <f t="shared" si="2"/>
        <v>321.39000000000027</v>
      </c>
      <c r="D72">
        <v>12.51</v>
      </c>
      <c r="F72" t="s">
        <v>368</v>
      </c>
      <c r="G72">
        <f t="shared" si="3"/>
        <v>308.88000000000028</v>
      </c>
      <c r="H72" t="s">
        <v>202</v>
      </c>
    </row>
    <row r="73" spans="3:9" x14ac:dyDescent="0.25">
      <c r="C73">
        <f t="shared" si="2"/>
        <v>308.88000000000028</v>
      </c>
      <c r="D73">
        <v>5.8</v>
      </c>
      <c r="F73" t="s">
        <v>369</v>
      </c>
      <c r="G73">
        <f t="shared" si="3"/>
        <v>303.08000000000027</v>
      </c>
      <c r="H73" t="s">
        <v>202</v>
      </c>
    </row>
    <row r="74" spans="3:9" x14ac:dyDescent="0.25">
      <c r="C74">
        <f t="shared" si="2"/>
        <v>303.08000000000027</v>
      </c>
      <c r="D74">
        <v>96.38</v>
      </c>
      <c r="E74" s="3">
        <v>46146</v>
      </c>
      <c r="F74" t="s">
        <v>483</v>
      </c>
      <c r="G74">
        <f t="shared" si="3"/>
        <v>206.70000000000027</v>
      </c>
      <c r="H74" t="s">
        <v>484</v>
      </c>
    </row>
    <row r="75" spans="3:9" x14ac:dyDescent="0.25">
      <c r="C75">
        <f t="shared" si="2"/>
        <v>206.70000000000027</v>
      </c>
      <c r="D75">
        <v>73.83</v>
      </c>
      <c r="E75" s="3">
        <v>46147</v>
      </c>
      <c r="F75" t="s">
        <v>485</v>
      </c>
      <c r="G75">
        <f t="shared" si="3"/>
        <v>132.87000000000029</v>
      </c>
      <c r="H75" t="s">
        <v>390</v>
      </c>
    </row>
    <row r="76" spans="3:9" x14ac:dyDescent="0.25">
      <c r="C76">
        <f t="shared" si="2"/>
        <v>132.87000000000029</v>
      </c>
      <c r="G76">
        <f t="shared" si="3"/>
        <v>132.87000000000029</v>
      </c>
    </row>
    <row r="77" spans="3:9" x14ac:dyDescent="0.25">
      <c r="C77">
        <f t="shared" si="2"/>
        <v>132.87000000000029</v>
      </c>
      <c r="G77">
        <f t="shared" si="3"/>
        <v>132.87000000000029</v>
      </c>
    </row>
    <row r="78" spans="3:9" x14ac:dyDescent="0.25">
      <c r="C78">
        <f t="shared" si="2"/>
        <v>132.87000000000029</v>
      </c>
      <c r="G78">
        <f t="shared" si="3"/>
        <v>132.87000000000029</v>
      </c>
    </row>
    <row r="79" spans="3:9" x14ac:dyDescent="0.25">
      <c r="C79">
        <f t="shared" si="2"/>
        <v>132.87000000000029</v>
      </c>
      <c r="G79">
        <f t="shared" si="3"/>
        <v>132.87000000000029</v>
      </c>
    </row>
    <row r="80" spans="3:9" x14ac:dyDescent="0.25">
      <c r="C80">
        <f t="shared" si="2"/>
        <v>132.87000000000029</v>
      </c>
      <c r="G80">
        <f t="shared" si="3"/>
        <v>132.87000000000029</v>
      </c>
    </row>
    <row r="81" spans="3:7" x14ac:dyDescent="0.25">
      <c r="C81">
        <f t="shared" si="2"/>
        <v>132.87000000000029</v>
      </c>
      <c r="G81">
        <f t="shared" si="3"/>
        <v>132.87000000000029</v>
      </c>
    </row>
    <row r="82" spans="3:7" x14ac:dyDescent="0.25">
      <c r="C82">
        <f t="shared" si="2"/>
        <v>132.87000000000029</v>
      </c>
      <c r="G82">
        <f t="shared" si="3"/>
        <v>132.87000000000029</v>
      </c>
    </row>
    <row r="83" spans="3:7" x14ac:dyDescent="0.25">
      <c r="C83">
        <f t="shared" si="2"/>
        <v>132.87000000000029</v>
      </c>
      <c r="G83">
        <f t="shared" si="3"/>
        <v>132.87000000000029</v>
      </c>
    </row>
    <row r="84" spans="3:7" x14ac:dyDescent="0.25">
      <c r="C84">
        <f t="shared" si="2"/>
        <v>132.87000000000029</v>
      </c>
      <c r="G84">
        <f t="shared" si="3"/>
        <v>132.87000000000029</v>
      </c>
    </row>
  </sheetData>
  <hyperlinks>
    <hyperlink ref="A4" location="SHORTCUTS!A1" display="SHORTCUTS" xr:uid="{4C3FA3EA-AE55-49C7-BAA3-161BA882F4D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7D4C-0900-4737-ABB8-398F843FEE5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0E85-4B16-48AC-B6C3-D491E6EC02CD}">
  <dimension ref="A1:H42"/>
  <sheetViews>
    <sheetView workbookViewId="0">
      <selection activeCell="A4" sqref="A4"/>
    </sheetView>
  </sheetViews>
  <sheetFormatPr baseColWidth="10" defaultRowHeight="15" x14ac:dyDescent="0.25"/>
  <cols>
    <col min="6" max="6" width="14.42578125" bestFit="1" customWidth="1"/>
  </cols>
  <sheetData>
    <row r="1" spans="1:8" x14ac:dyDescent="0.25">
      <c r="A1" t="s">
        <v>157</v>
      </c>
    </row>
    <row r="2" spans="1:8" x14ac:dyDescent="0.25"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</row>
    <row r="3" spans="1:8" x14ac:dyDescent="0.25">
      <c r="A3" t="s">
        <v>107</v>
      </c>
      <c r="B3">
        <v>275</v>
      </c>
      <c r="C3">
        <v>1000</v>
      </c>
      <c r="D3">
        <v>6.39</v>
      </c>
      <c r="E3" s="1">
        <v>46058</v>
      </c>
      <c r="F3" t="s">
        <v>158</v>
      </c>
      <c r="G3">
        <f>C3-D3</f>
        <v>993.61</v>
      </c>
    </row>
    <row r="4" spans="1:8" x14ac:dyDescent="0.25">
      <c r="A4" s="6" t="s">
        <v>304</v>
      </c>
      <c r="C4">
        <f>G3</f>
        <v>993.61</v>
      </c>
      <c r="D4">
        <v>3.5</v>
      </c>
      <c r="F4" t="s">
        <v>159</v>
      </c>
      <c r="G4">
        <f>C4-D4</f>
        <v>990.11</v>
      </c>
    </row>
    <row r="5" spans="1:8" x14ac:dyDescent="0.25">
      <c r="C5">
        <f t="shared" ref="C5:C40" si="0">G4</f>
        <v>990.11</v>
      </c>
      <c r="D5">
        <v>115.28</v>
      </c>
      <c r="E5" s="3">
        <v>46076</v>
      </c>
      <c r="F5" t="s">
        <v>338</v>
      </c>
      <c r="G5">
        <f t="shared" ref="G5:G42" si="1">C5-D5</f>
        <v>874.83</v>
      </c>
      <c r="H5" t="s">
        <v>339</v>
      </c>
    </row>
    <row r="6" spans="1:8" x14ac:dyDescent="0.25">
      <c r="C6">
        <f t="shared" si="0"/>
        <v>874.83</v>
      </c>
      <c r="D6">
        <v>87.69</v>
      </c>
      <c r="E6" s="3">
        <v>46098</v>
      </c>
      <c r="F6" t="s">
        <v>401</v>
      </c>
      <c r="G6">
        <f t="shared" si="1"/>
        <v>787.1400000000001</v>
      </c>
      <c r="H6" t="s">
        <v>402</v>
      </c>
    </row>
    <row r="7" spans="1:8" x14ac:dyDescent="0.25">
      <c r="C7">
        <f t="shared" si="0"/>
        <v>787.1400000000001</v>
      </c>
      <c r="D7">
        <v>17.53</v>
      </c>
      <c r="E7" s="3">
        <v>46107</v>
      </c>
      <c r="F7" t="s">
        <v>403</v>
      </c>
      <c r="G7">
        <f t="shared" si="1"/>
        <v>769.61000000000013</v>
      </c>
    </row>
    <row r="8" spans="1:8" x14ac:dyDescent="0.25">
      <c r="C8">
        <f t="shared" si="0"/>
        <v>769.61000000000013</v>
      </c>
      <c r="D8">
        <v>143</v>
      </c>
      <c r="F8" t="s">
        <v>404</v>
      </c>
      <c r="G8">
        <f t="shared" si="1"/>
        <v>626.61000000000013</v>
      </c>
    </row>
    <row r="9" spans="1:8" x14ac:dyDescent="0.25">
      <c r="C9">
        <f t="shared" si="0"/>
        <v>626.61000000000013</v>
      </c>
      <c r="D9">
        <v>11.03</v>
      </c>
      <c r="E9" s="3">
        <v>46109</v>
      </c>
      <c r="F9" t="s">
        <v>405</v>
      </c>
      <c r="G9">
        <f t="shared" si="1"/>
        <v>615.58000000000015</v>
      </c>
    </row>
    <row r="10" spans="1:8" x14ac:dyDescent="0.25">
      <c r="C10">
        <f t="shared" si="0"/>
        <v>615.58000000000015</v>
      </c>
      <c r="D10">
        <v>10</v>
      </c>
      <c r="F10" t="s">
        <v>406</v>
      </c>
      <c r="G10">
        <f t="shared" si="1"/>
        <v>605.58000000000015</v>
      </c>
    </row>
    <row r="11" spans="1:8" x14ac:dyDescent="0.25">
      <c r="C11">
        <f t="shared" si="0"/>
        <v>605.58000000000015</v>
      </c>
      <c r="D11">
        <v>80</v>
      </c>
      <c r="E11" s="3">
        <v>46114</v>
      </c>
      <c r="F11" t="s">
        <v>413</v>
      </c>
      <c r="G11">
        <f t="shared" si="1"/>
        <v>525.58000000000015</v>
      </c>
      <c r="H11" t="s">
        <v>414</v>
      </c>
    </row>
    <row r="12" spans="1:8" x14ac:dyDescent="0.25">
      <c r="C12">
        <f t="shared" si="0"/>
        <v>525.58000000000015</v>
      </c>
      <c r="D12">
        <v>18.3</v>
      </c>
      <c r="E12" s="3">
        <v>46126</v>
      </c>
      <c r="F12" t="s">
        <v>422</v>
      </c>
      <c r="G12">
        <f t="shared" si="1"/>
        <v>507.28000000000014</v>
      </c>
      <c r="H12" t="s">
        <v>378</v>
      </c>
    </row>
    <row r="13" spans="1:8" x14ac:dyDescent="0.25">
      <c r="C13">
        <f t="shared" si="0"/>
        <v>507.28000000000014</v>
      </c>
      <c r="D13">
        <v>18.38</v>
      </c>
      <c r="F13" t="s">
        <v>422</v>
      </c>
      <c r="G13">
        <f t="shared" si="1"/>
        <v>488.90000000000015</v>
      </c>
      <c r="H13" t="s">
        <v>423</v>
      </c>
    </row>
    <row r="14" spans="1:8" x14ac:dyDescent="0.25">
      <c r="C14">
        <f t="shared" si="0"/>
        <v>488.90000000000015</v>
      </c>
      <c r="D14">
        <v>170.81</v>
      </c>
      <c r="E14" s="3">
        <v>46147</v>
      </c>
      <c r="F14" t="s">
        <v>486</v>
      </c>
      <c r="G14">
        <f t="shared" si="1"/>
        <v>318.09000000000015</v>
      </c>
      <c r="H14" t="s">
        <v>332</v>
      </c>
    </row>
    <row r="15" spans="1:8" x14ac:dyDescent="0.25">
      <c r="C15">
        <f t="shared" si="0"/>
        <v>318.09000000000015</v>
      </c>
      <c r="D15">
        <v>1.31</v>
      </c>
      <c r="E15" s="3">
        <v>46168</v>
      </c>
      <c r="F15" t="s">
        <v>572</v>
      </c>
      <c r="G15">
        <f t="shared" si="1"/>
        <v>316.78000000000014</v>
      </c>
    </row>
    <row r="16" spans="1:8" x14ac:dyDescent="0.25">
      <c r="C16">
        <f t="shared" si="0"/>
        <v>316.78000000000014</v>
      </c>
      <c r="D16">
        <v>2.74</v>
      </c>
      <c r="E16" s="3">
        <v>46174</v>
      </c>
      <c r="F16" t="s">
        <v>607</v>
      </c>
      <c r="G16">
        <f t="shared" si="1"/>
        <v>314.04000000000013</v>
      </c>
    </row>
    <row r="17" spans="3:8" x14ac:dyDescent="0.25">
      <c r="C17">
        <f t="shared" si="0"/>
        <v>314.04000000000013</v>
      </c>
      <c r="D17">
        <v>10.3</v>
      </c>
      <c r="F17" t="s">
        <v>608</v>
      </c>
      <c r="G17">
        <f t="shared" si="1"/>
        <v>303.74000000000012</v>
      </c>
    </row>
    <row r="18" spans="3:8" x14ac:dyDescent="0.25">
      <c r="C18">
        <f t="shared" si="0"/>
        <v>303.74000000000012</v>
      </c>
      <c r="D18">
        <v>8.85</v>
      </c>
      <c r="F18" t="s">
        <v>22</v>
      </c>
      <c r="G18">
        <f t="shared" si="1"/>
        <v>294.8900000000001</v>
      </c>
      <c r="H18" t="s">
        <v>609</v>
      </c>
    </row>
    <row r="19" spans="3:8" x14ac:dyDescent="0.25">
      <c r="C19">
        <f t="shared" si="0"/>
        <v>294.8900000000001</v>
      </c>
      <c r="D19">
        <v>1.07</v>
      </c>
      <c r="F19" t="s">
        <v>537</v>
      </c>
      <c r="G19">
        <f t="shared" si="1"/>
        <v>293.82000000000011</v>
      </c>
    </row>
    <row r="20" spans="3:8" x14ac:dyDescent="0.25">
      <c r="C20">
        <f t="shared" si="0"/>
        <v>293.82000000000011</v>
      </c>
      <c r="D20">
        <v>9.01</v>
      </c>
      <c r="F20" t="s">
        <v>610</v>
      </c>
      <c r="G20">
        <f t="shared" si="1"/>
        <v>284.81000000000012</v>
      </c>
      <c r="H20" t="s">
        <v>390</v>
      </c>
    </row>
    <row r="21" spans="3:8" x14ac:dyDescent="0.25">
      <c r="C21">
        <f t="shared" si="0"/>
        <v>284.81000000000012</v>
      </c>
      <c r="G21">
        <f t="shared" si="1"/>
        <v>284.81000000000012</v>
      </c>
    </row>
    <row r="22" spans="3:8" x14ac:dyDescent="0.25">
      <c r="C22">
        <f t="shared" si="0"/>
        <v>284.81000000000012</v>
      </c>
      <c r="G22">
        <f t="shared" si="1"/>
        <v>284.81000000000012</v>
      </c>
    </row>
    <row r="23" spans="3:8" x14ac:dyDescent="0.25">
      <c r="C23">
        <f t="shared" si="0"/>
        <v>284.81000000000012</v>
      </c>
      <c r="G23">
        <f t="shared" si="1"/>
        <v>284.81000000000012</v>
      </c>
    </row>
    <row r="24" spans="3:8" x14ac:dyDescent="0.25">
      <c r="C24">
        <f t="shared" si="0"/>
        <v>284.81000000000012</v>
      </c>
      <c r="G24">
        <f t="shared" si="1"/>
        <v>284.81000000000012</v>
      </c>
    </row>
    <row r="25" spans="3:8" x14ac:dyDescent="0.25">
      <c r="C25">
        <f t="shared" si="0"/>
        <v>284.81000000000012</v>
      </c>
      <c r="G25">
        <f t="shared" si="1"/>
        <v>284.81000000000012</v>
      </c>
    </row>
    <row r="26" spans="3:8" x14ac:dyDescent="0.25">
      <c r="C26">
        <f t="shared" si="0"/>
        <v>284.81000000000012</v>
      </c>
      <c r="G26">
        <f t="shared" si="1"/>
        <v>284.81000000000012</v>
      </c>
    </row>
    <row r="27" spans="3:8" x14ac:dyDescent="0.25">
      <c r="C27">
        <f t="shared" si="0"/>
        <v>284.81000000000012</v>
      </c>
      <c r="G27">
        <f t="shared" si="1"/>
        <v>284.81000000000012</v>
      </c>
    </row>
    <row r="28" spans="3:8" x14ac:dyDescent="0.25">
      <c r="C28">
        <f t="shared" si="0"/>
        <v>284.81000000000012</v>
      </c>
      <c r="G28">
        <f t="shared" si="1"/>
        <v>284.81000000000012</v>
      </c>
    </row>
    <row r="29" spans="3:8" x14ac:dyDescent="0.25">
      <c r="C29">
        <f t="shared" si="0"/>
        <v>284.81000000000012</v>
      </c>
      <c r="G29">
        <f t="shared" si="1"/>
        <v>284.81000000000012</v>
      </c>
    </row>
    <row r="30" spans="3:8" x14ac:dyDescent="0.25">
      <c r="C30">
        <f t="shared" si="0"/>
        <v>284.81000000000012</v>
      </c>
      <c r="G30">
        <f t="shared" si="1"/>
        <v>284.81000000000012</v>
      </c>
    </row>
    <row r="31" spans="3:8" x14ac:dyDescent="0.25">
      <c r="C31">
        <f t="shared" si="0"/>
        <v>284.81000000000012</v>
      </c>
      <c r="G31">
        <f t="shared" si="1"/>
        <v>284.81000000000012</v>
      </c>
    </row>
    <row r="32" spans="3:8" x14ac:dyDescent="0.25">
      <c r="C32">
        <f t="shared" si="0"/>
        <v>284.81000000000012</v>
      </c>
      <c r="G32">
        <f t="shared" si="1"/>
        <v>284.81000000000012</v>
      </c>
    </row>
    <row r="33" spans="3:7" x14ac:dyDescent="0.25">
      <c r="C33">
        <f t="shared" si="0"/>
        <v>284.81000000000012</v>
      </c>
      <c r="G33">
        <f t="shared" si="1"/>
        <v>284.81000000000012</v>
      </c>
    </row>
    <row r="34" spans="3:7" x14ac:dyDescent="0.25">
      <c r="C34">
        <f t="shared" si="0"/>
        <v>284.81000000000012</v>
      </c>
      <c r="G34">
        <f t="shared" si="1"/>
        <v>284.81000000000012</v>
      </c>
    </row>
    <row r="35" spans="3:7" x14ac:dyDescent="0.25">
      <c r="C35">
        <f t="shared" si="0"/>
        <v>284.81000000000012</v>
      </c>
      <c r="G35">
        <f t="shared" si="1"/>
        <v>284.81000000000012</v>
      </c>
    </row>
    <row r="36" spans="3:7" x14ac:dyDescent="0.25">
      <c r="C36">
        <f t="shared" si="0"/>
        <v>284.81000000000012</v>
      </c>
      <c r="G36">
        <f t="shared" si="1"/>
        <v>284.81000000000012</v>
      </c>
    </row>
    <row r="37" spans="3:7" x14ac:dyDescent="0.25">
      <c r="C37">
        <f t="shared" si="0"/>
        <v>284.81000000000012</v>
      </c>
      <c r="G37">
        <f t="shared" si="1"/>
        <v>284.81000000000012</v>
      </c>
    </row>
    <row r="38" spans="3:7" x14ac:dyDescent="0.25">
      <c r="C38">
        <f t="shared" si="0"/>
        <v>284.81000000000012</v>
      </c>
      <c r="G38">
        <f t="shared" si="1"/>
        <v>284.81000000000012</v>
      </c>
    </row>
    <row r="39" spans="3:7" x14ac:dyDescent="0.25">
      <c r="C39">
        <f t="shared" si="0"/>
        <v>284.81000000000012</v>
      </c>
      <c r="G39">
        <f t="shared" si="1"/>
        <v>284.81000000000012</v>
      </c>
    </row>
    <row r="40" spans="3:7" x14ac:dyDescent="0.25">
      <c r="C40">
        <f t="shared" si="0"/>
        <v>284.81000000000012</v>
      </c>
      <c r="G40">
        <f t="shared" si="1"/>
        <v>284.81000000000012</v>
      </c>
    </row>
    <row r="41" spans="3:7" x14ac:dyDescent="0.25">
      <c r="G41">
        <f t="shared" si="1"/>
        <v>0</v>
      </c>
    </row>
    <row r="42" spans="3:7" x14ac:dyDescent="0.25">
      <c r="G42">
        <f t="shared" si="1"/>
        <v>0</v>
      </c>
    </row>
  </sheetData>
  <hyperlinks>
    <hyperlink ref="A4" location="SHORTCUTS!A1" display="SHORTCUTS" xr:uid="{52ECFE5D-F80B-48C4-BE6E-E378E0B5D20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4874-5D99-4BAF-A490-1FFB5CF48F4E}">
  <dimension ref="A1:I50"/>
  <sheetViews>
    <sheetView workbookViewId="0">
      <selection activeCell="A4" sqref="A4"/>
    </sheetView>
  </sheetViews>
  <sheetFormatPr baseColWidth="10" defaultRowHeight="15" x14ac:dyDescent="0.25"/>
  <cols>
    <col min="6" max="6" width="26.7109375" bestFit="1" customWidth="1"/>
  </cols>
  <sheetData>
    <row r="1" spans="1:8" x14ac:dyDescent="0.25">
      <c r="A1" t="s">
        <v>183</v>
      </c>
    </row>
    <row r="2" spans="1:8" x14ac:dyDescent="0.25"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A3" t="s">
        <v>107</v>
      </c>
      <c r="B3">
        <v>275</v>
      </c>
      <c r="C3">
        <v>1000</v>
      </c>
      <c r="D3">
        <v>3.51</v>
      </c>
      <c r="E3" s="1">
        <v>46058</v>
      </c>
      <c r="F3" t="s">
        <v>162</v>
      </c>
      <c r="G3">
        <f>C3-D3</f>
        <v>996.49</v>
      </c>
    </row>
    <row r="4" spans="1:8" x14ac:dyDescent="0.25">
      <c r="A4" s="6" t="s">
        <v>304</v>
      </c>
      <c r="C4">
        <f>G3</f>
        <v>996.49</v>
      </c>
      <c r="D4">
        <v>6.46</v>
      </c>
      <c r="E4" s="3"/>
      <c r="F4" t="s">
        <v>163</v>
      </c>
      <c r="G4">
        <f>C4-D4</f>
        <v>990.03</v>
      </c>
    </row>
    <row r="5" spans="1:8" x14ac:dyDescent="0.25">
      <c r="C5">
        <f t="shared" ref="C5:C49" si="0">G4</f>
        <v>990.03</v>
      </c>
      <c r="D5">
        <v>8.0299999999999994</v>
      </c>
      <c r="F5" t="s">
        <v>164</v>
      </c>
      <c r="G5">
        <f t="shared" ref="G5:G50" si="1">C5-D5</f>
        <v>982</v>
      </c>
    </row>
    <row r="6" spans="1:8" x14ac:dyDescent="0.25">
      <c r="C6">
        <f t="shared" si="0"/>
        <v>982</v>
      </c>
      <c r="D6">
        <v>6.5</v>
      </c>
      <c r="F6" t="s">
        <v>190</v>
      </c>
      <c r="G6">
        <f t="shared" si="1"/>
        <v>975.5</v>
      </c>
      <c r="H6" t="s">
        <v>192</v>
      </c>
    </row>
    <row r="7" spans="1:8" x14ac:dyDescent="0.25">
      <c r="C7">
        <f t="shared" si="0"/>
        <v>975.5</v>
      </c>
      <c r="D7">
        <v>13.93</v>
      </c>
      <c r="F7" t="s">
        <v>198</v>
      </c>
      <c r="G7">
        <f t="shared" si="1"/>
        <v>961.57</v>
      </c>
    </row>
    <row r="8" spans="1:8" x14ac:dyDescent="0.25">
      <c r="C8">
        <f t="shared" si="0"/>
        <v>961.57</v>
      </c>
      <c r="D8">
        <v>4.21</v>
      </c>
      <c r="F8" t="s">
        <v>199</v>
      </c>
      <c r="G8">
        <f t="shared" si="1"/>
        <v>957.36</v>
      </c>
    </row>
    <row r="9" spans="1:8" x14ac:dyDescent="0.25">
      <c r="C9">
        <f t="shared" si="0"/>
        <v>957.36</v>
      </c>
      <c r="D9">
        <v>2.78</v>
      </c>
      <c r="F9" t="s">
        <v>200</v>
      </c>
      <c r="G9">
        <f t="shared" si="1"/>
        <v>954.58</v>
      </c>
    </row>
    <row r="10" spans="1:8" x14ac:dyDescent="0.25">
      <c r="C10">
        <f t="shared" si="0"/>
        <v>954.58</v>
      </c>
      <c r="D10">
        <v>50.81</v>
      </c>
      <c r="E10" s="3">
        <v>46065</v>
      </c>
      <c r="F10" t="s">
        <v>247</v>
      </c>
      <c r="G10">
        <f t="shared" si="1"/>
        <v>903.77</v>
      </c>
      <c r="H10" t="s">
        <v>248</v>
      </c>
    </row>
    <row r="11" spans="1:8" x14ac:dyDescent="0.25">
      <c r="C11">
        <f t="shared" si="0"/>
        <v>903.77</v>
      </c>
      <c r="D11">
        <v>6.46</v>
      </c>
      <c r="F11" t="s">
        <v>249</v>
      </c>
      <c r="G11">
        <f t="shared" si="1"/>
        <v>897.31</v>
      </c>
      <c r="H11" t="s">
        <v>221</v>
      </c>
    </row>
    <row r="12" spans="1:8" x14ac:dyDescent="0.25">
      <c r="C12">
        <f t="shared" si="0"/>
        <v>897.31</v>
      </c>
      <c r="D12">
        <v>5</v>
      </c>
      <c r="G12">
        <f t="shared" si="1"/>
        <v>892.31</v>
      </c>
    </row>
    <row r="13" spans="1:8" x14ac:dyDescent="0.25">
      <c r="C13">
        <f t="shared" si="0"/>
        <v>892.31</v>
      </c>
      <c r="D13">
        <v>8.34</v>
      </c>
      <c r="E13" s="3">
        <v>46069</v>
      </c>
      <c r="F13" t="s">
        <v>274</v>
      </c>
      <c r="G13">
        <f t="shared" si="1"/>
        <v>883.96999999999991</v>
      </c>
      <c r="H13" t="s">
        <v>275</v>
      </c>
    </row>
    <row r="14" spans="1:8" x14ac:dyDescent="0.25">
      <c r="C14">
        <f t="shared" si="0"/>
        <v>883.96999999999991</v>
      </c>
      <c r="D14">
        <v>12.22</v>
      </c>
      <c r="F14" t="s">
        <v>276</v>
      </c>
      <c r="G14">
        <f t="shared" si="1"/>
        <v>871.74999999999989</v>
      </c>
      <c r="H14" t="s">
        <v>277</v>
      </c>
    </row>
    <row r="15" spans="1:8" x14ac:dyDescent="0.25">
      <c r="C15">
        <f t="shared" si="0"/>
        <v>871.74999999999989</v>
      </c>
      <c r="D15">
        <v>145</v>
      </c>
      <c r="E15" s="3">
        <v>46074</v>
      </c>
      <c r="F15" t="s">
        <v>331</v>
      </c>
      <c r="G15">
        <f t="shared" si="1"/>
        <v>726.74999999999989</v>
      </c>
      <c r="H15" t="s">
        <v>332</v>
      </c>
    </row>
    <row r="16" spans="1:8" x14ac:dyDescent="0.25">
      <c r="C16">
        <f t="shared" si="0"/>
        <v>726.74999999999989</v>
      </c>
      <c r="D16">
        <v>70.2</v>
      </c>
      <c r="E16" s="3">
        <v>46083</v>
      </c>
      <c r="F16" t="s">
        <v>370</v>
      </c>
      <c r="G16">
        <f t="shared" si="1"/>
        <v>656.54999999999984</v>
      </c>
      <c r="H16" t="s">
        <v>371</v>
      </c>
    </row>
    <row r="17" spans="3:8" x14ac:dyDescent="0.25">
      <c r="C17">
        <f t="shared" si="0"/>
        <v>656.54999999999984</v>
      </c>
      <c r="D17">
        <v>60.72</v>
      </c>
      <c r="E17" s="3">
        <v>46093</v>
      </c>
      <c r="F17" t="s">
        <v>391</v>
      </c>
      <c r="G17">
        <f t="shared" si="1"/>
        <v>595.82999999999981</v>
      </c>
      <c r="H17" t="s">
        <v>334</v>
      </c>
    </row>
    <row r="18" spans="3:8" x14ac:dyDescent="0.25">
      <c r="C18">
        <f t="shared" si="0"/>
        <v>595.82999999999981</v>
      </c>
      <c r="D18">
        <v>15</v>
      </c>
      <c r="E18" s="3">
        <v>46121</v>
      </c>
      <c r="F18" t="s">
        <v>417</v>
      </c>
      <c r="G18">
        <f t="shared" si="1"/>
        <v>580.82999999999981</v>
      </c>
      <c r="H18" t="s">
        <v>418</v>
      </c>
    </row>
    <row r="19" spans="3:8" x14ac:dyDescent="0.25">
      <c r="C19">
        <f t="shared" si="0"/>
        <v>580.82999999999981</v>
      </c>
      <c r="D19">
        <v>0.53</v>
      </c>
      <c r="E19" s="3">
        <v>46123</v>
      </c>
      <c r="F19" t="s">
        <v>419</v>
      </c>
      <c r="G19">
        <f t="shared" si="1"/>
        <v>580.29999999999984</v>
      </c>
      <c r="H19" t="s">
        <v>360</v>
      </c>
    </row>
    <row r="20" spans="3:8" x14ac:dyDescent="0.25">
      <c r="C20">
        <f t="shared" si="0"/>
        <v>580.29999999999984</v>
      </c>
      <c r="D20">
        <v>18.39</v>
      </c>
      <c r="E20" s="3">
        <v>46128</v>
      </c>
      <c r="F20" t="s">
        <v>422</v>
      </c>
      <c r="G20">
        <f t="shared" si="1"/>
        <v>561.90999999999985</v>
      </c>
      <c r="H20" t="s">
        <v>426</v>
      </c>
    </row>
    <row r="21" spans="3:8" x14ac:dyDescent="0.25">
      <c r="C21">
        <f t="shared" si="0"/>
        <v>561.90999999999985</v>
      </c>
      <c r="D21">
        <v>1.59</v>
      </c>
      <c r="F21" t="s">
        <v>427</v>
      </c>
      <c r="G21">
        <f t="shared" si="1"/>
        <v>560.31999999999982</v>
      </c>
    </row>
    <row r="22" spans="3:8" x14ac:dyDescent="0.25">
      <c r="C22">
        <f t="shared" si="0"/>
        <v>560.31999999999982</v>
      </c>
      <c r="D22">
        <v>21.84</v>
      </c>
      <c r="F22" t="s">
        <v>428</v>
      </c>
      <c r="G22">
        <f t="shared" si="1"/>
        <v>538.47999999999979</v>
      </c>
      <c r="H22" t="s">
        <v>429</v>
      </c>
    </row>
    <row r="23" spans="3:8" x14ac:dyDescent="0.25">
      <c r="C23">
        <f t="shared" si="0"/>
        <v>538.47999999999979</v>
      </c>
      <c r="D23">
        <v>54.75</v>
      </c>
      <c r="F23" t="s">
        <v>430</v>
      </c>
      <c r="G23">
        <f t="shared" si="1"/>
        <v>483.72999999999979</v>
      </c>
      <c r="H23" t="s">
        <v>431</v>
      </c>
    </row>
    <row r="24" spans="3:8" x14ac:dyDescent="0.25">
      <c r="C24">
        <f t="shared" si="0"/>
        <v>483.72999999999979</v>
      </c>
      <c r="D24">
        <v>16.239999999999998</v>
      </c>
      <c r="E24" s="3">
        <v>46130</v>
      </c>
      <c r="F24" t="s">
        <v>432</v>
      </c>
      <c r="G24">
        <f t="shared" si="1"/>
        <v>467.48999999999978</v>
      </c>
      <c r="H24">
        <v>1</v>
      </c>
    </row>
    <row r="25" spans="3:8" x14ac:dyDescent="0.25">
      <c r="C25">
        <f t="shared" si="0"/>
        <v>467.48999999999978</v>
      </c>
      <c r="D25">
        <v>12.74</v>
      </c>
      <c r="F25" t="s">
        <v>433</v>
      </c>
      <c r="G25">
        <f t="shared" si="1"/>
        <v>454.74999999999977</v>
      </c>
      <c r="H25" t="s">
        <v>378</v>
      </c>
    </row>
    <row r="26" spans="3:8" x14ac:dyDescent="0.25">
      <c r="C26">
        <f t="shared" si="0"/>
        <v>454.74999999999977</v>
      </c>
      <c r="D26">
        <v>8</v>
      </c>
      <c r="E26" s="3">
        <v>46132</v>
      </c>
      <c r="F26" t="s">
        <v>437</v>
      </c>
      <c r="G26">
        <f t="shared" si="1"/>
        <v>446.74999999999977</v>
      </c>
      <c r="H26">
        <v>1</v>
      </c>
    </row>
    <row r="27" spans="3:8" x14ac:dyDescent="0.25">
      <c r="C27">
        <f t="shared" si="0"/>
        <v>446.74999999999977</v>
      </c>
      <c r="D27">
        <v>7</v>
      </c>
      <c r="E27" s="3">
        <v>46133</v>
      </c>
      <c r="F27" t="s">
        <v>438</v>
      </c>
      <c r="G27">
        <f t="shared" si="1"/>
        <v>439.74999999999977</v>
      </c>
      <c r="H27" t="s">
        <v>439</v>
      </c>
    </row>
    <row r="28" spans="3:8" x14ac:dyDescent="0.25">
      <c r="C28">
        <f t="shared" si="0"/>
        <v>439.74999999999977</v>
      </c>
      <c r="D28">
        <v>28.6</v>
      </c>
      <c r="E28" s="3">
        <v>46137</v>
      </c>
      <c r="F28" t="s">
        <v>445</v>
      </c>
      <c r="G28">
        <f t="shared" si="1"/>
        <v>411.14999999999975</v>
      </c>
      <c r="H28" t="s">
        <v>446</v>
      </c>
    </row>
    <row r="29" spans="3:8" x14ac:dyDescent="0.25">
      <c r="C29">
        <f t="shared" si="0"/>
        <v>411.14999999999975</v>
      </c>
      <c r="D29">
        <v>48.95</v>
      </c>
      <c r="E29" s="3">
        <v>46139</v>
      </c>
      <c r="F29" t="s">
        <v>449</v>
      </c>
      <c r="G29">
        <f t="shared" si="1"/>
        <v>362.19999999999976</v>
      </c>
    </row>
    <row r="30" spans="3:8" x14ac:dyDescent="0.25">
      <c r="C30">
        <f t="shared" si="0"/>
        <v>362.19999999999976</v>
      </c>
      <c r="D30">
        <v>1</v>
      </c>
      <c r="E30" s="3">
        <v>46140</v>
      </c>
      <c r="F30" t="s">
        <v>452</v>
      </c>
      <c r="G30">
        <f t="shared" si="1"/>
        <v>361.19999999999976</v>
      </c>
      <c r="H30" t="s">
        <v>217</v>
      </c>
    </row>
    <row r="31" spans="3:8" x14ac:dyDescent="0.25">
      <c r="C31">
        <f t="shared" si="0"/>
        <v>361.19999999999976</v>
      </c>
      <c r="D31">
        <v>2</v>
      </c>
      <c r="F31" t="s">
        <v>453</v>
      </c>
      <c r="G31">
        <f t="shared" si="1"/>
        <v>359.19999999999976</v>
      </c>
      <c r="H31" t="s">
        <v>454</v>
      </c>
    </row>
    <row r="32" spans="3:8" x14ac:dyDescent="0.25">
      <c r="C32">
        <f t="shared" si="0"/>
        <v>359.19999999999976</v>
      </c>
      <c r="D32">
        <v>3</v>
      </c>
      <c r="F32" t="s">
        <v>455</v>
      </c>
      <c r="G32">
        <f t="shared" si="1"/>
        <v>356.19999999999976</v>
      </c>
      <c r="H32" t="s">
        <v>456</v>
      </c>
    </row>
    <row r="33" spans="3:9" x14ac:dyDescent="0.25">
      <c r="C33">
        <f t="shared" si="0"/>
        <v>356.19999999999976</v>
      </c>
      <c r="D33">
        <v>1</v>
      </c>
      <c r="E33" s="3">
        <v>46141</v>
      </c>
      <c r="F33" t="s">
        <v>463</v>
      </c>
      <c r="G33">
        <f t="shared" si="1"/>
        <v>355.19999999999976</v>
      </c>
      <c r="H33" t="s">
        <v>464</v>
      </c>
    </row>
    <row r="34" spans="3:9" x14ac:dyDescent="0.25">
      <c r="C34">
        <f t="shared" si="0"/>
        <v>355.19999999999976</v>
      </c>
      <c r="D34">
        <v>2</v>
      </c>
      <c r="F34" t="s">
        <v>465</v>
      </c>
      <c r="G34">
        <f t="shared" si="1"/>
        <v>353.19999999999976</v>
      </c>
    </row>
    <row r="35" spans="3:9" x14ac:dyDescent="0.25">
      <c r="C35">
        <f t="shared" si="0"/>
        <v>353.19999999999976</v>
      </c>
      <c r="D35">
        <v>2</v>
      </c>
      <c r="F35" t="s">
        <v>466</v>
      </c>
      <c r="G35">
        <f t="shared" si="1"/>
        <v>351.19999999999976</v>
      </c>
      <c r="H35">
        <v>5</v>
      </c>
    </row>
    <row r="36" spans="3:9" x14ac:dyDescent="0.25">
      <c r="C36">
        <f t="shared" si="0"/>
        <v>351.19999999999976</v>
      </c>
      <c r="D36">
        <v>1.2</v>
      </c>
      <c r="F36" t="s">
        <v>467</v>
      </c>
      <c r="G36">
        <f t="shared" si="1"/>
        <v>349.99999999999977</v>
      </c>
      <c r="I36" t="s">
        <v>468</v>
      </c>
    </row>
    <row r="37" spans="3:9" x14ac:dyDescent="0.25">
      <c r="C37">
        <f t="shared" si="0"/>
        <v>349.99999999999977</v>
      </c>
      <c r="D37">
        <v>2.76</v>
      </c>
      <c r="F37" t="s">
        <v>469</v>
      </c>
      <c r="G37">
        <f t="shared" si="1"/>
        <v>347.23999999999978</v>
      </c>
    </row>
    <row r="38" spans="3:9" x14ac:dyDescent="0.25">
      <c r="C38">
        <f t="shared" si="0"/>
        <v>347.23999999999978</v>
      </c>
      <c r="D38">
        <v>2.79</v>
      </c>
      <c r="F38" t="s">
        <v>470</v>
      </c>
      <c r="G38">
        <f t="shared" si="1"/>
        <v>344.44999999999976</v>
      </c>
    </row>
    <row r="39" spans="3:9" x14ac:dyDescent="0.25">
      <c r="C39">
        <f t="shared" si="0"/>
        <v>344.44999999999976</v>
      </c>
      <c r="D39">
        <v>10.11</v>
      </c>
      <c r="F39" t="s">
        <v>471</v>
      </c>
      <c r="G39">
        <f t="shared" si="1"/>
        <v>334.33999999999975</v>
      </c>
      <c r="H39" t="s">
        <v>462</v>
      </c>
    </row>
    <row r="40" spans="3:9" x14ac:dyDescent="0.25">
      <c r="C40">
        <f t="shared" si="0"/>
        <v>334.33999999999975</v>
      </c>
      <c r="D40">
        <v>2</v>
      </c>
      <c r="F40" t="s">
        <v>472</v>
      </c>
      <c r="G40">
        <f t="shared" si="1"/>
        <v>332.33999999999975</v>
      </c>
    </row>
    <row r="41" spans="3:9" x14ac:dyDescent="0.25">
      <c r="C41">
        <f t="shared" si="0"/>
        <v>332.33999999999975</v>
      </c>
      <c r="D41">
        <v>13</v>
      </c>
      <c r="F41" t="s">
        <v>471</v>
      </c>
      <c r="G41">
        <f t="shared" si="1"/>
        <v>319.33999999999975</v>
      </c>
      <c r="H41" t="s">
        <v>473</v>
      </c>
    </row>
    <row r="42" spans="3:9" x14ac:dyDescent="0.25">
      <c r="C42">
        <f t="shared" si="0"/>
        <v>319.33999999999975</v>
      </c>
      <c r="D42">
        <v>11</v>
      </c>
      <c r="F42" t="s">
        <v>474</v>
      </c>
      <c r="G42">
        <f t="shared" si="1"/>
        <v>308.33999999999975</v>
      </c>
      <c r="H42">
        <v>39</v>
      </c>
    </row>
    <row r="43" spans="3:9" x14ac:dyDescent="0.25">
      <c r="C43">
        <f t="shared" si="0"/>
        <v>308.33999999999975</v>
      </c>
      <c r="G43">
        <f t="shared" si="1"/>
        <v>308.33999999999975</v>
      </c>
    </row>
    <row r="44" spans="3:9" x14ac:dyDescent="0.25">
      <c r="C44">
        <f t="shared" si="0"/>
        <v>308.33999999999975</v>
      </c>
      <c r="G44">
        <f t="shared" si="1"/>
        <v>308.33999999999975</v>
      </c>
    </row>
    <row r="45" spans="3:9" x14ac:dyDescent="0.25">
      <c r="C45">
        <f t="shared" si="0"/>
        <v>308.33999999999975</v>
      </c>
      <c r="G45">
        <f t="shared" si="1"/>
        <v>308.33999999999975</v>
      </c>
    </row>
    <row r="46" spans="3:9" x14ac:dyDescent="0.25">
      <c r="C46">
        <f t="shared" si="0"/>
        <v>308.33999999999975</v>
      </c>
      <c r="G46">
        <f t="shared" si="1"/>
        <v>308.33999999999975</v>
      </c>
    </row>
    <row r="47" spans="3:9" x14ac:dyDescent="0.25">
      <c r="C47">
        <f t="shared" si="0"/>
        <v>308.33999999999975</v>
      </c>
      <c r="G47">
        <f t="shared" si="1"/>
        <v>308.33999999999975</v>
      </c>
    </row>
    <row r="48" spans="3:9" x14ac:dyDescent="0.25">
      <c r="C48">
        <f t="shared" si="0"/>
        <v>308.33999999999975</v>
      </c>
      <c r="G48">
        <f t="shared" si="1"/>
        <v>308.33999999999975</v>
      </c>
    </row>
    <row r="49" spans="3:7" x14ac:dyDescent="0.25">
      <c r="C49">
        <f t="shared" si="0"/>
        <v>308.33999999999975</v>
      </c>
      <c r="G49">
        <f t="shared" si="1"/>
        <v>308.33999999999975</v>
      </c>
    </row>
    <row r="50" spans="3:7" x14ac:dyDescent="0.25">
      <c r="G50">
        <f t="shared" si="1"/>
        <v>0</v>
      </c>
    </row>
  </sheetData>
  <hyperlinks>
    <hyperlink ref="A4" location="SHORTCUTS!A1" display="SHORTCUTS" xr:uid="{FF75F5CA-DEE3-400F-95D3-E633E2CC1078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D1BD-8595-427B-B3E4-3417480D190C}">
  <dimension ref="A1:I32"/>
  <sheetViews>
    <sheetView workbookViewId="0">
      <selection activeCell="A4" sqref="A4"/>
    </sheetView>
  </sheetViews>
  <sheetFormatPr baseColWidth="10" defaultRowHeight="15" x14ac:dyDescent="0.25"/>
  <sheetData>
    <row r="1" spans="1:9" x14ac:dyDescent="0.25">
      <c r="A1" t="s">
        <v>290</v>
      </c>
    </row>
    <row r="2" spans="1:9" x14ac:dyDescent="0.25"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9" x14ac:dyDescent="0.25">
      <c r="A3" t="s">
        <v>291</v>
      </c>
      <c r="B3">
        <v>290</v>
      </c>
      <c r="C3">
        <v>1000</v>
      </c>
      <c r="D3">
        <v>6.83</v>
      </c>
      <c r="E3" s="1">
        <v>46067</v>
      </c>
      <c r="F3" t="s">
        <v>293</v>
      </c>
      <c r="G3">
        <f>C3-D3</f>
        <v>993.17</v>
      </c>
      <c r="H3" t="s">
        <v>292</v>
      </c>
    </row>
    <row r="4" spans="1:9" x14ac:dyDescent="0.25">
      <c r="A4" s="6" t="s">
        <v>304</v>
      </c>
      <c r="C4">
        <f>G3</f>
        <v>993.17</v>
      </c>
      <c r="D4">
        <v>63.34</v>
      </c>
      <c r="E4" s="3">
        <v>46073</v>
      </c>
      <c r="F4" t="s">
        <v>313</v>
      </c>
      <c r="G4">
        <f>C4-D4</f>
        <v>929.82999999999993</v>
      </c>
      <c r="H4" t="s">
        <v>314</v>
      </c>
      <c r="I4" t="s">
        <v>108</v>
      </c>
    </row>
    <row r="5" spans="1:9" x14ac:dyDescent="0.25">
      <c r="C5">
        <f t="shared" ref="C5:C30" si="0">G4</f>
        <v>929.82999999999993</v>
      </c>
      <c r="D5">
        <v>12.13</v>
      </c>
      <c r="F5" t="s">
        <v>315</v>
      </c>
      <c r="G5">
        <f t="shared" ref="G5:G32" si="1">C5-D5</f>
        <v>917.69999999999993</v>
      </c>
      <c r="H5" t="s">
        <v>316</v>
      </c>
      <c r="I5" t="s">
        <v>108</v>
      </c>
    </row>
    <row r="6" spans="1:9" x14ac:dyDescent="0.25">
      <c r="C6">
        <f t="shared" si="0"/>
        <v>917.69999999999993</v>
      </c>
      <c r="D6">
        <v>62.88</v>
      </c>
      <c r="F6" t="s">
        <v>313</v>
      </c>
      <c r="G6">
        <f t="shared" si="1"/>
        <v>854.81999999999994</v>
      </c>
      <c r="H6" t="s">
        <v>317</v>
      </c>
    </row>
    <row r="7" spans="1:9" x14ac:dyDescent="0.25">
      <c r="C7">
        <f t="shared" si="0"/>
        <v>854.81999999999994</v>
      </c>
      <c r="D7">
        <v>62.81</v>
      </c>
      <c r="F7" t="s">
        <v>313</v>
      </c>
      <c r="G7">
        <f t="shared" si="1"/>
        <v>792.01</v>
      </c>
      <c r="H7" t="s">
        <v>318</v>
      </c>
    </row>
    <row r="8" spans="1:9" x14ac:dyDescent="0.25">
      <c r="C8">
        <f t="shared" si="0"/>
        <v>792.01</v>
      </c>
      <c r="D8">
        <v>20.52</v>
      </c>
      <c r="E8" s="3">
        <v>46166</v>
      </c>
      <c r="F8" t="s">
        <v>565</v>
      </c>
      <c r="G8">
        <f t="shared" si="1"/>
        <v>771.49</v>
      </c>
    </row>
    <row r="9" spans="1:9" x14ac:dyDescent="0.25">
      <c r="C9">
        <f t="shared" si="0"/>
        <v>771.49</v>
      </c>
      <c r="D9">
        <v>11.49</v>
      </c>
      <c r="F9" t="s">
        <v>566</v>
      </c>
      <c r="G9">
        <f t="shared" si="1"/>
        <v>760</v>
      </c>
      <c r="H9" t="s">
        <v>202</v>
      </c>
    </row>
    <row r="10" spans="1:9" x14ac:dyDescent="0.25">
      <c r="C10">
        <f t="shared" si="0"/>
        <v>760</v>
      </c>
      <c r="D10">
        <v>12.87</v>
      </c>
      <c r="E10" s="3">
        <v>46169</v>
      </c>
      <c r="F10" t="s">
        <v>566</v>
      </c>
      <c r="G10">
        <f t="shared" si="1"/>
        <v>747.13</v>
      </c>
      <c r="H10" t="s">
        <v>589</v>
      </c>
    </row>
    <row r="11" spans="1:9" x14ac:dyDescent="0.25">
      <c r="C11">
        <f t="shared" si="0"/>
        <v>747.13</v>
      </c>
      <c r="D11">
        <v>0.67</v>
      </c>
      <c r="F11" t="s">
        <v>590</v>
      </c>
      <c r="G11">
        <f t="shared" si="1"/>
        <v>746.46</v>
      </c>
    </row>
    <row r="12" spans="1:9" x14ac:dyDescent="0.25">
      <c r="C12">
        <f t="shared" si="0"/>
        <v>746.46</v>
      </c>
      <c r="G12">
        <f t="shared" si="1"/>
        <v>746.46</v>
      </c>
    </row>
    <row r="13" spans="1:9" x14ac:dyDescent="0.25">
      <c r="C13">
        <f t="shared" si="0"/>
        <v>746.46</v>
      </c>
      <c r="G13">
        <f t="shared" si="1"/>
        <v>746.46</v>
      </c>
    </row>
    <row r="14" spans="1:9" x14ac:dyDescent="0.25">
      <c r="C14">
        <f t="shared" si="0"/>
        <v>746.46</v>
      </c>
      <c r="G14">
        <f t="shared" si="1"/>
        <v>746.46</v>
      </c>
    </row>
    <row r="15" spans="1:9" x14ac:dyDescent="0.25">
      <c r="C15">
        <f t="shared" si="0"/>
        <v>746.46</v>
      </c>
      <c r="G15">
        <f t="shared" si="1"/>
        <v>746.46</v>
      </c>
    </row>
    <row r="16" spans="1:9" x14ac:dyDescent="0.25">
      <c r="C16">
        <f t="shared" si="0"/>
        <v>746.46</v>
      </c>
      <c r="G16">
        <f t="shared" si="1"/>
        <v>746.46</v>
      </c>
    </row>
    <row r="17" spans="3:7" x14ac:dyDescent="0.25">
      <c r="C17">
        <f t="shared" si="0"/>
        <v>746.46</v>
      </c>
      <c r="G17">
        <f t="shared" si="1"/>
        <v>746.46</v>
      </c>
    </row>
    <row r="18" spans="3:7" x14ac:dyDescent="0.25">
      <c r="C18">
        <f t="shared" si="0"/>
        <v>746.46</v>
      </c>
      <c r="G18">
        <f t="shared" si="1"/>
        <v>746.46</v>
      </c>
    </row>
    <row r="19" spans="3:7" x14ac:dyDescent="0.25">
      <c r="C19">
        <f t="shared" si="0"/>
        <v>746.46</v>
      </c>
      <c r="G19">
        <f t="shared" si="1"/>
        <v>746.46</v>
      </c>
    </row>
    <row r="20" spans="3:7" x14ac:dyDescent="0.25">
      <c r="C20">
        <f t="shared" si="0"/>
        <v>746.46</v>
      </c>
      <c r="G20">
        <f t="shared" si="1"/>
        <v>746.46</v>
      </c>
    </row>
    <row r="21" spans="3:7" x14ac:dyDescent="0.25">
      <c r="C21">
        <f t="shared" si="0"/>
        <v>746.46</v>
      </c>
      <c r="G21">
        <f t="shared" si="1"/>
        <v>746.46</v>
      </c>
    </row>
    <row r="22" spans="3:7" x14ac:dyDescent="0.25">
      <c r="C22">
        <f t="shared" si="0"/>
        <v>746.46</v>
      </c>
      <c r="G22">
        <f t="shared" si="1"/>
        <v>746.46</v>
      </c>
    </row>
    <row r="23" spans="3:7" x14ac:dyDescent="0.25">
      <c r="C23">
        <f t="shared" si="0"/>
        <v>746.46</v>
      </c>
      <c r="G23">
        <f t="shared" si="1"/>
        <v>746.46</v>
      </c>
    </row>
    <row r="24" spans="3:7" x14ac:dyDescent="0.25">
      <c r="C24">
        <f t="shared" si="0"/>
        <v>746.46</v>
      </c>
      <c r="G24">
        <f t="shared" si="1"/>
        <v>746.46</v>
      </c>
    </row>
    <row r="25" spans="3:7" x14ac:dyDescent="0.25">
      <c r="C25">
        <f t="shared" si="0"/>
        <v>746.46</v>
      </c>
      <c r="G25">
        <f t="shared" si="1"/>
        <v>746.46</v>
      </c>
    </row>
    <row r="26" spans="3:7" x14ac:dyDescent="0.25">
      <c r="C26">
        <f t="shared" si="0"/>
        <v>746.46</v>
      </c>
      <c r="G26">
        <f t="shared" si="1"/>
        <v>746.46</v>
      </c>
    </row>
    <row r="27" spans="3:7" x14ac:dyDescent="0.25">
      <c r="C27">
        <f t="shared" si="0"/>
        <v>746.46</v>
      </c>
      <c r="G27">
        <f t="shared" si="1"/>
        <v>746.46</v>
      </c>
    </row>
    <row r="28" spans="3:7" x14ac:dyDescent="0.25">
      <c r="C28">
        <f t="shared" si="0"/>
        <v>746.46</v>
      </c>
      <c r="G28">
        <f t="shared" si="1"/>
        <v>746.46</v>
      </c>
    </row>
    <row r="29" spans="3:7" x14ac:dyDescent="0.25">
      <c r="C29">
        <f t="shared" si="0"/>
        <v>746.46</v>
      </c>
      <c r="G29">
        <f t="shared" si="1"/>
        <v>746.46</v>
      </c>
    </row>
    <row r="30" spans="3:7" x14ac:dyDescent="0.25">
      <c r="C30">
        <f t="shared" si="0"/>
        <v>746.46</v>
      </c>
      <c r="G30">
        <f t="shared" si="1"/>
        <v>746.46</v>
      </c>
    </row>
    <row r="31" spans="3:7" x14ac:dyDescent="0.25">
      <c r="G31">
        <f t="shared" si="1"/>
        <v>0</v>
      </c>
    </row>
    <row r="32" spans="3:7" x14ac:dyDescent="0.25">
      <c r="G32">
        <f t="shared" si="1"/>
        <v>0</v>
      </c>
    </row>
  </sheetData>
  <hyperlinks>
    <hyperlink ref="A4" location="SHORTCUTS!A1" display="SHORTCUTS" xr:uid="{AEC75986-9B74-46AB-A52B-A83C5C06A79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F997-C73C-491F-B174-570B32769E96}">
  <dimension ref="A1:H53"/>
  <sheetViews>
    <sheetView workbookViewId="0">
      <selection activeCell="A4" sqref="A4"/>
    </sheetView>
  </sheetViews>
  <sheetFormatPr baseColWidth="10" defaultRowHeight="15" x14ac:dyDescent="0.25"/>
  <sheetData>
    <row r="1" spans="1:8" x14ac:dyDescent="0.25">
      <c r="A1" t="s">
        <v>288</v>
      </c>
    </row>
    <row r="2" spans="1:8" x14ac:dyDescent="0.25"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A3" t="s">
        <v>263</v>
      </c>
      <c r="B3">
        <v>290</v>
      </c>
      <c r="C3">
        <v>1000</v>
      </c>
      <c r="D3">
        <v>3.85</v>
      </c>
      <c r="E3" s="1">
        <v>46067</v>
      </c>
      <c r="F3" t="s">
        <v>162</v>
      </c>
      <c r="G3">
        <f>C3-D3</f>
        <v>996.15</v>
      </c>
      <c r="H3" t="s">
        <v>264</v>
      </c>
    </row>
    <row r="4" spans="1:8" x14ac:dyDescent="0.25">
      <c r="A4" s="6" t="s">
        <v>304</v>
      </c>
      <c r="C4">
        <f>G3</f>
        <v>996.15</v>
      </c>
      <c r="D4">
        <v>4.72</v>
      </c>
      <c r="E4" s="3"/>
      <c r="F4" t="s">
        <v>265</v>
      </c>
      <c r="G4">
        <f>C4-D4</f>
        <v>991.43</v>
      </c>
      <c r="H4" t="s">
        <v>266</v>
      </c>
    </row>
    <row r="5" spans="1:8" x14ac:dyDescent="0.25">
      <c r="C5">
        <f t="shared" ref="C5:C12" si="0">G4</f>
        <v>991.43</v>
      </c>
      <c r="D5">
        <v>30.06</v>
      </c>
      <c r="F5" t="s">
        <v>267</v>
      </c>
      <c r="G5">
        <f t="shared" ref="G5:G12" si="1">C5-D5</f>
        <v>961.37</v>
      </c>
      <c r="H5" t="s">
        <v>268</v>
      </c>
    </row>
    <row r="6" spans="1:8" x14ac:dyDescent="0.25">
      <c r="C6">
        <f t="shared" si="0"/>
        <v>961.37</v>
      </c>
      <c r="D6">
        <v>55.52</v>
      </c>
      <c r="E6" s="3">
        <v>46075</v>
      </c>
      <c r="F6" t="s">
        <v>333</v>
      </c>
      <c r="G6">
        <f t="shared" si="1"/>
        <v>905.85</v>
      </c>
      <c r="H6" t="s">
        <v>334</v>
      </c>
    </row>
    <row r="7" spans="1:8" x14ac:dyDescent="0.25">
      <c r="C7">
        <f t="shared" si="0"/>
        <v>905.85</v>
      </c>
      <c r="D7">
        <v>10</v>
      </c>
      <c r="E7" s="3">
        <v>46093</v>
      </c>
      <c r="F7" t="s">
        <v>384</v>
      </c>
      <c r="G7">
        <f t="shared" si="1"/>
        <v>895.85</v>
      </c>
      <c r="H7" t="s">
        <v>273</v>
      </c>
    </row>
    <row r="8" spans="1:8" x14ac:dyDescent="0.25">
      <c r="C8">
        <f t="shared" si="0"/>
        <v>895.85</v>
      </c>
      <c r="D8">
        <v>9</v>
      </c>
      <c r="F8" t="s">
        <v>385</v>
      </c>
      <c r="G8">
        <f t="shared" si="1"/>
        <v>886.85</v>
      </c>
      <c r="H8" t="s">
        <v>273</v>
      </c>
    </row>
    <row r="9" spans="1:8" x14ac:dyDescent="0.25">
      <c r="C9">
        <f t="shared" si="0"/>
        <v>886.85</v>
      </c>
      <c r="D9">
        <v>10</v>
      </c>
      <c r="F9" t="s">
        <v>386</v>
      </c>
      <c r="G9">
        <f t="shared" si="1"/>
        <v>876.85</v>
      </c>
      <c r="H9">
        <v>20</v>
      </c>
    </row>
    <row r="10" spans="1:8" x14ac:dyDescent="0.25">
      <c r="C10">
        <f t="shared" si="0"/>
        <v>876.85</v>
      </c>
      <c r="D10">
        <v>10</v>
      </c>
      <c r="E10" s="3"/>
      <c r="F10" t="s">
        <v>387</v>
      </c>
      <c r="G10">
        <f t="shared" si="1"/>
        <v>866.85</v>
      </c>
      <c r="H10">
        <v>20</v>
      </c>
    </row>
    <row r="11" spans="1:8" x14ac:dyDescent="0.25">
      <c r="C11">
        <f t="shared" si="0"/>
        <v>866.85</v>
      </c>
      <c r="D11">
        <v>3</v>
      </c>
      <c r="F11" t="s">
        <v>373</v>
      </c>
      <c r="G11">
        <f t="shared" si="1"/>
        <v>863.85</v>
      </c>
      <c r="H11">
        <v>5</v>
      </c>
    </row>
    <row r="12" spans="1:8" x14ac:dyDescent="0.25">
      <c r="C12">
        <f t="shared" si="0"/>
        <v>863.85</v>
      </c>
      <c r="D12">
        <v>41.15</v>
      </c>
      <c r="F12" t="s">
        <v>389</v>
      </c>
      <c r="G12">
        <f t="shared" si="1"/>
        <v>822.7</v>
      </c>
      <c r="H12" t="s">
        <v>390</v>
      </c>
    </row>
    <row r="13" spans="1:8" x14ac:dyDescent="0.25">
      <c r="C13">
        <f>G12</f>
        <v>822.7</v>
      </c>
      <c r="D13">
        <v>5</v>
      </c>
      <c r="E13" s="3">
        <v>46140</v>
      </c>
      <c r="F13" t="s">
        <v>457</v>
      </c>
      <c r="G13">
        <f>C13-D13</f>
        <v>817.7</v>
      </c>
      <c r="H13" t="s">
        <v>458</v>
      </c>
    </row>
    <row r="14" spans="1:8" x14ac:dyDescent="0.25">
      <c r="C14">
        <f t="shared" ref="C14:C53" si="2">G13</f>
        <v>817.7</v>
      </c>
      <c r="D14">
        <v>6.51</v>
      </c>
      <c r="F14" t="s">
        <v>459</v>
      </c>
      <c r="G14">
        <f t="shared" ref="G14:G53" si="3">C14-D14</f>
        <v>811.19</v>
      </c>
      <c r="H14" t="s">
        <v>460</v>
      </c>
    </row>
    <row r="15" spans="1:8" x14ac:dyDescent="0.25">
      <c r="C15">
        <f t="shared" si="2"/>
        <v>811.19</v>
      </c>
      <c r="D15">
        <v>6.61</v>
      </c>
      <c r="E15" s="3">
        <v>46158</v>
      </c>
      <c r="F15" t="s">
        <v>526</v>
      </c>
      <c r="G15">
        <f t="shared" si="3"/>
        <v>804.58</v>
      </c>
      <c r="H15" t="s">
        <v>527</v>
      </c>
    </row>
    <row r="16" spans="1:8" x14ac:dyDescent="0.25">
      <c r="C16">
        <f t="shared" si="2"/>
        <v>804.58</v>
      </c>
      <c r="D16">
        <v>20.52</v>
      </c>
      <c r="E16" s="3">
        <v>46165</v>
      </c>
      <c r="F16" t="s">
        <v>422</v>
      </c>
      <c r="G16">
        <f t="shared" si="3"/>
        <v>784.06000000000006</v>
      </c>
      <c r="H16" t="s">
        <v>528</v>
      </c>
    </row>
    <row r="17" spans="3:8" x14ac:dyDescent="0.25">
      <c r="C17">
        <f t="shared" si="2"/>
        <v>784.06000000000006</v>
      </c>
      <c r="D17">
        <v>10.25</v>
      </c>
      <c r="F17" t="s">
        <v>563</v>
      </c>
      <c r="G17">
        <f t="shared" si="3"/>
        <v>773.81000000000006</v>
      </c>
      <c r="H17" t="s">
        <v>564</v>
      </c>
    </row>
    <row r="18" spans="3:8" x14ac:dyDescent="0.25">
      <c r="C18">
        <f t="shared" si="2"/>
        <v>773.81000000000006</v>
      </c>
      <c r="D18">
        <v>15.29</v>
      </c>
      <c r="E18" s="3">
        <v>46169</v>
      </c>
      <c r="F18" t="s">
        <v>566</v>
      </c>
      <c r="G18">
        <f t="shared" si="3"/>
        <v>758.5200000000001</v>
      </c>
      <c r="H18" t="s">
        <v>587</v>
      </c>
    </row>
    <row r="19" spans="3:8" x14ac:dyDescent="0.25">
      <c r="C19">
        <f t="shared" si="2"/>
        <v>758.5200000000001</v>
      </c>
      <c r="D19">
        <v>0.21</v>
      </c>
      <c r="E19" s="3">
        <v>46173</v>
      </c>
      <c r="F19" t="s">
        <v>597</v>
      </c>
      <c r="G19">
        <f t="shared" si="3"/>
        <v>758.31000000000006</v>
      </c>
    </row>
    <row r="20" spans="3:8" x14ac:dyDescent="0.25">
      <c r="C20">
        <f t="shared" si="2"/>
        <v>758.31000000000006</v>
      </c>
      <c r="D20">
        <v>0.53</v>
      </c>
      <c r="G20">
        <f t="shared" si="3"/>
        <v>757.78000000000009</v>
      </c>
    </row>
    <row r="21" spans="3:8" x14ac:dyDescent="0.25">
      <c r="C21">
        <f t="shared" si="2"/>
        <v>757.78000000000009</v>
      </c>
      <c r="D21">
        <v>0.53</v>
      </c>
      <c r="G21">
        <f t="shared" si="3"/>
        <v>757.25000000000011</v>
      </c>
    </row>
    <row r="22" spans="3:8" x14ac:dyDescent="0.25">
      <c r="C22">
        <f t="shared" si="2"/>
        <v>757.25000000000011</v>
      </c>
      <c r="D22">
        <v>1.97</v>
      </c>
      <c r="F22" t="s">
        <v>598</v>
      </c>
      <c r="G22">
        <f t="shared" si="3"/>
        <v>755.28000000000009</v>
      </c>
      <c r="H22" t="s">
        <v>599</v>
      </c>
    </row>
    <row r="23" spans="3:8" x14ac:dyDescent="0.25">
      <c r="C23">
        <f t="shared" si="2"/>
        <v>755.28000000000009</v>
      </c>
      <c r="D23">
        <v>8.6300000000000008</v>
      </c>
      <c r="F23" t="s">
        <v>600</v>
      </c>
      <c r="G23">
        <f t="shared" si="3"/>
        <v>746.65000000000009</v>
      </c>
      <c r="H23" t="s">
        <v>601</v>
      </c>
    </row>
    <row r="24" spans="3:8" x14ac:dyDescent="0.25">
      <c r="C24">
        <f t="shared" si="2"/>
        <v>746.65000000000009</v>
      </c>
      <c r="D24">
        <v>0.86</v>
      </c>
      <c r="F24" t="s">
        <v>537</v>
      </c>
      <c r="G24">
        <f t="shared" si="3"/>
        <v>745.79000000000008</v>
      </c>
    </row>
    <row r="25" spans="3:8" x14ac:dyDescent="0.25">
      <c r="C25">
        <f t="shared" si="2"/>
        <v>745.79000000000008</v>
      </c>
      <c r="D25">
        <v>0.57999999999999996</v>
      </c>
      <c r="F25" t="s">
        <v>48</v>
      </c>
      <c r="G25">
        <f t="shared" si="3"/>
        <v>745.21</v>
      </c>
    </row>
    <row r="26" spans="3:8" x14ac:dyDescent="0.25">
      <c r="C26">
        <f t="shared" si="2"/>
        <v>745.21</v>
      </c>
      <c r="D26">
        <v>0.57999999999999996</v>
      </c>
      <c r="F26" t="s">
        <v>602</v>
      </c>
      <c r="G26">
        <f t="shared" si="3"/>
        <v>744.63</v>
      </c>
    </row>
    <row r="27" spans="3:8" x14ac:dyDescent="0.25">
      <c r="C27">
        <f t="shared" si="2"/>
        <v>744.63</v>
      </c>
      <c r="D27">
        <v>0.57999999999999996</v>
      </c>
      <c r="G27">
        <f t="shared" si="3"/>
        <v>744.05</v>
      </c>
    </row>
    <row r="28" spans="3:8" x14ac:dyDescent="0.25">
      <c r="C28">
        <f t="shared" si="2"/>
        <v>744.05</v>
      </c>
      <c r="D28">
        <v>0.57999999999999996</v>
      </c>
      <c r="G28">
        <f t="shared" si="3"/>
        <v>743.46999999999991</v>
      </c>
    </row>
    <row r="29" spans="3:8" x14ac:dyDescent="0.25">
      <c r="C29">
        <f t="shared" si="2"/>
        <v>743.46999999999991</v>
      </c>
      <c r="D29">
        <v>8.27</v>
      </c>
      <c r="F29" t="s">
        <v>603</v>
      </c>
      <c r="G29">
        <f t="shared" si="3"/>
        <v>735.19999999999993</v>
      </c>
    </row>
    <row r="30" spans="3:8" x14ac:dyDescent="0.25">
      <c r="C30">
        <f t="shared" si="2"/>
        <v>735.19999999999993</v>
      </c>
      <c r="D30">
        <v>0.86</v>
      </c>
      <c r="F30" t="s">
        <v>604</v>
      </c>
      <c r="G30">
        <f t="shared" si="3"/>
        <v>734.33999999999992</v>
      </c>
    </row>
    <row r="31" spans="3:8" x14ac:dyDescent="0.25">
      <c r="C31">
        <f t="shared" si="2"/>
        <v>734.33999999999992</v>
      </c>
      <c r="D31">
        <v>2.87</v>
      </c>
      <c r="E31" s="3">
        <v>46174</v>
      </c>
      <c r="F31" t="s">
        <v>605</v>
      </c>
      <c r="G31">
        <f t="shared" si="3"/>
        <v>731.46999999999991</v>
      </c>
      <c r="H31" t="s">
        <v>606</v>
      </c>
    </row>
    <row r="32" spans="3:8" x14ac:dyDescent="0.25">
      <c r="C32">
        <f t="shared" si="2"/>
        <v>731.46999999999991</v>
      </c>
      <c r="D32">
        <v>1.88</v>
      </c>
      <c r="E32" s="3">
        <v>46175</v>
      </c>
      <c r="F32" t="s">
        <v>615</v>
      </c>
      <c r="G32">
        <f t="shared" si="3"/>
        <v>729.58999999999992</v>
      </c>
    </row>
    <row r="33" spans="3:7" x14ac:dyDescent="0.25">
      <c r="C33">
        <f t="shared" si="2"/>
        <v>729.58999999999992</v>
      </c>
      <c r="G33">
        <f t="shared" si="3"/>
        <v>729.58999999999992</v>
      </c>
    </row>
    <row r="34" spans="3:7" x14ac:dyDescent="0.25">
      <c r="C34">
        <f t="shared" si="2"/>
        <v>729.58999999999992</v>
      </c>
      <c r="G34">
        <f t="shared" si="3"/>
        <v>729.58999999999992</v>
      </c>
    </row>
    <row r="35" spans="3:7" x14ac:dyDescent="0.25">
      <c r="C35">
        <f t="shared" si="2"/>
        <v>729.58999999999992</v>
      </c>
      <c r="G35">
        <f t="shared" si="3"/>
        <v>729.58999999999992</v>
      </c>
    </row>
    <row r="36" spans="3:7" x14ac:dyDescent="0.25">
      <c r="C36">
        <f t="shared" si="2"/>
        <v>729.58999999999992</v>
      </c>
      <c r="G36">
        <f t="shared" si="3"/>
        <v>729.58999999999992</v>
      </c>
    </row>
    <row r="37" spans="3:7" x14ac:dyDescent="0.25">
      <c r="C37">
        <f t="shared" si="2"/>
        <v>729.58999999999992</v>
      </c>
      <c r="G37">
        <f t="shared" si="3"/>
        <v>729.58999999999992</v>
      </c>
    </row>
    <row r="38" spans="3:7" x14ac:dyDescent="0.25">
      <c r="C38">
        <f t="shared" si="2"/>
        <v>729.58999999999992</v>
      </c>
      <c r="G38">
        <f t="shared" si="3"/>
        <v>729.58999999999992</v>
      </c>
    </row>
    <row r="39" spans="3:7" x14ac:dyDescent="0.25">
      <c r="C39">
        <f t="shared" si="2"/>
        <v>729.58999999999992</v>
      </c>
      <c r="G39">
        <f t="shared" si="3"/>
        <v>729.58999999999992</v>
      </c>
    </row>
    <row r="40" spans="3:7" x14ac:dyDescent="0.25">
      <c r="C40">
        <f t="shared" si="2"/>
        <v>729.58999999999992</v>
      </c>
      <c r="G40">
        <f t="shared" si="3"/>
        <v>729.58999999999992</v>
      </c>
    </row>
    <row r="41" spans="3:7" x14ac:dyDescent="0.25">
      <c r="C41">
        <f t="shared" si="2"/>
        <v>729.58999999999992</v>
      </c>
      <c r="G41">
        <f t="shared" si="3"/>
        <v>729.58999999999992</v>
      </c>
    </row>
    <row r="42" spans="3:7" x14ac:dyDescent="0.25">
      <c r="C42">
        <f t="shared" si="2"/>
        <v>729.58999999999992</v>
      </c>
      <c r="G42">
        <f t="shared" si="3"/>
        <v>729.58999999999992</v>
      </c>
    </row>
    <row r="43" spans="3:7" x14ac:dyDescent="0.25">
      <c r="C43">
        <f t="shared" si="2"/>
        <v>729.58999999999992</v>
      </c>
      <c r="G43">
        <f t="shared" si="3"/>
        <v>729.58999999999992</v>
      </c>
    </row>
    <row r="44" spans="3:7" x14ac:dyDescent="0.25">
      <c r="C44">
        <f t="shared" si="2"/>
        <v>729.58999999999992</v>
      </c>
      <c r="G44">
        <f t="shared" si="3"/>
        <v>729.58999999999992</v>
      </c>
    </row>
    <row r="45" spans="3:7" x14ac:dyDescent="0.25">
      <c r="C45">
        <f t="shared" si="2"/>
        <v>729.58999999999992</v>
      </c>
      <c r="G45">
        <f t="shared" si="3"/>
        <v>729.58999999999992</v>
      </c>
    </row>
    <row r="46" spans="3:7" x14ac:dyDescent="0.25">
      <c r="C46">
        <f t="shared" si="2"/>
        <v>729.58999999999992</v>
      </c>
      <c r="G46">
        <f t="shared" si="3"/>
        <v>729.58999999999992</v>
      </c>
    </row>
    <row r="47" spans="3:7" x14ac:dyDescent="0.25">
      <c r="C47">
        <f t="shared" si="2"/>
        <v>729.58999999999992</v>
      </c>
      <c r="G47">
        <f t="shared" si="3"/>
        <v>729.58999999999992</v>
      </c>
    </row>
    <row r="48" spans="3:7" x14ac:dyDescent="0.25">
      <c r="C48">
        <f t="shared" si="2"/>
        <v>729.58999999999992</v>
      </c>
      <c r="G48">
        <f t="shared" si="3"/>
        <v>729.58999999999992</v>
      </c>
    </row>
    <row r="49" spans="3:7" x14ac:dyDescent="0.25">
      <c r="C49">
        <f t="shared" si="2"/>
        <v>729.58999999999992</v>
      </c>
      <c r="G49">
        <f t="shared" si="3"/>
        <v>729.58999999999992</v>
      </c>
    </row>
    <row r="50" spans="3:7" x14ac:dyDescent="0.25">
      <c r="C50">
        <f t="shared" si="2"/>
        <v>729.58999999999992</v>
      </c>
      <c r="G50">
        <f t="shared" si="3"/>
        <v>729.58999999999992</v>
      </c>
    </row>
    <row r="51" spans="3:7" x14ac:dyDescent="0.25">
      <c r="C51">
        <f t="shared" si="2"/>
        <v>729.58999999999992</v>
      </c>
      <c r="G51">
        <f t="shared" si="3"/>
        <v>729.58999999999992</v>
      </c>
    </row>
    <row r="52" spans="3:7" x14ac:dyDescent="0.25">
      <c r="C52">
        <f t="shared" si="2"/>
        <v>729.58999999999992</v>
      </c>
      <c r="G52">
        <f t="shared" si="3"/>
        <v>729.58999999999992</v>
      </c>
    </row>
    <row r="53" spans="3:7" x14ac:dyDescent="0.25">
      <c r="C53">
        <f t="shared" si="2"/>
        <v>729.58999999999992</v>
      </c>
      <c r="G53">
        <f t="shared" si="3"/>
        <v>729.58999999999992</v>
      </c>
    </row>
  </sheetData>
  <hyperlinks>
    <hyperlink ref="A4" location="SHORTCUTS!A1" display="SHORTCUTS" xr:uid="{404EF516-E27D-4E7F-9C9D-11E40D56D4C4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E7B9-10BA-4365-9DD1-924D7E1716E7}">
  <dimension ref="A1:H26"/>
  <sheetViews>
    <sheetView workbookViewId="0">
      <selection activeCell="A4" sqref="A4"/>
    </sheetView>
  </sheetViews>
  <sheetFormatPr baseColWidth="10" defaultRowHeight="15" x14ac:dyDescent="0.25"/>
  <sheetData>
    <row r="1" spans="1:8" x14ac:dyDescent="0.25">
      <c r="A1" t="s">
        <v>388</v>
      </c>
    </row>
    <row r="2" spans="1:8" x14ac:dyDescent="0.25"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A3" t="s">
        <v>263</v>
      </c>
      <c r="B3">
        <v>280</v>
      </c>
      <c r="C3">
        <v>1000</v>
      </c>
      <c r="D3">
        <v>3.49</v>
      </c>
      <c r="E3" s="1">
        <v>46094</v>
      </c>
      <c r="F3" t="s">
        <v>392</v>
      </c>
      <c r="G3">
        <f>C3-D3</f>
        <v>996.51</v>
      </c>
    </row>
    <row r="4" spans="1:8" x14ac:dyDescent="0.25">
      <c r="A4" s="6" t="s">
        <v>304</v>
      </c>
      <c r="C4">
        <f>G3</f>
        <v>996.51</v>
      </c>
      <c r="D4">
        <v>10.07</v>
      </c>
      <c r="E4" s="3">
        <v>46095</v>
      </c>
      <c r="F4" t="s">
        <v>393</v>
      </c>
      <c r="G4">
        <f t="shared" ref="G4:G26" si="0">C4-D4</f>
        <v>986.43999999999994</v>
      </c>
      <c r="H4" t="s">
        <v>378</v>
      </c>
    </row>
    <row r="5" spans="1:8" x14ac:dyDescent="0.25">
      <c r="C5">
        <f t="shared" ref="C5:C25" si="1">G4</f>
        <v>986.43999999999994</v>
      </c>
      <c r="D5">
        <v>3.5</v>
      </c>
      <c r="F5" t="s">
        <v>394</v>
      </c>
      <c r="G5">
        <f t="shared" si="0"/>
        <v>982.93999999999994</v>
      </c>
      <c r="H5" t="s">
        <v>395</v>
      </c>
    </row>
    <row r="6" spans="1:8" x14ac:dyDescent="0.25">
      <c r="C6">
        <f t="shared" si="1"/>
        <v>982.93999999999994</v>
      </c>
      <c r="D6">
        <v>19.559999999999999</v>
      </c>
      <c r="F6" t="s">
        <v>396</v>
      </c>
      <c r="G6">
        <f t="shared" si="0"/>
        <v>963.38</v>
      </c>
      <c r="H6" t="s">
        <v>397</v>
      </c>
    </row>
    <row r="7" spans="1:8" x14ac:dyDescent="0.25">
      <c r="C7">
        <f t="shared" si="1"/>
        <v>963.38</v>
      </c>
      <c r="D7">
        <v>20.45</v>
      </c>
      <c r="F7" t="s">
        <v>398</v>
      </c>
      <c r="G7">
        <f t="shared" si="0"/>
        <v>942.93</v>
      </c>
      <c r="H7" t="s">
        <v>378</v>
      </c>
    </row>
    <row r="8" spans="1:8" x14ac:dyDescent="0.25">
      <c r="C8">
        <f t="shared" si="1"/>
        <v>942.93</v>
      </c>
      <c r="D8">
        <v>23.02</v>
      </c>
      <c r="E8" s="3">
        <v>46097</v>
      </c>
      <c r="F8" t="s">
        <v>399</v>
      </c>
      <c r="G8">
        <f t="shared" si="0"/>
        <v>919.91</v>
      </c>
      <c r="H8" t="s">
        <v>397</v>
      </c>
    </row>
    <row r="9" spans="1:8" x14ac:dyDescent="0.25">
      <c r="C9">
        <f t="shared" si="1"/>
        <v>919.91</v>
      </c>
      <c r="D9">
        <v>37.35</v>
      </c>
      <c r="E9" s="3">
        <v>46141</v>
      </c>
      <c r="F9" t="s">
        <v>475</v>
      </c>
      <c r="G9">
        <f t="shared" si="0"/>
        <v>882.56</v>
      </c>
      <c r="H9" t="s">
        <v>476</v>
      </c>
    </row>
    <row r="10" spans="1:8" x14ac:dyDescent="0.25">
      <c r="C10">
        <f t="shared" si="1"/>
        <v>882.56</v>
      </c>
      <c r="D10">
        <v>50.41</v>
      </c>
      <c r="E10" s="3">
        <v>46146</v>
      </c>
      <c r="F10" t="s">
        <v>481</v>
      </c>
      <c r="G10">
        <f t="shared" si="0"/>
        <v>832.15</v>
      </c>
      <c r="H10" t="s">
        <v>482</v>
      </c>
    </row>
    <row r="11" spans="1:8" x14ac:dyDescent="0.25">
      <c r="C11">
        <f t="shared" si="1"/>
        <v>832.15</v>
      </c>
      <c r="D11">
        <v>15.77</v>
      </c>
      <c r="E11" s="3">
        <v>46165</v>
      </c>
      <c r="F11" t="s">
        <v>560</v>
      </c>
      <c r="G11">
        <f t="shared" si="0"/>
        <v>816.38</v>
      </c>
      <c r="H11" t="s">
        <v>378</v>
      </c>
    </row>
    <row r="12" spans="1:8" x14ac:dyDescent="0.25">
      <c r="C12">
        <f t="shared" si="1"/>
        <v>816.38</v>
      </c>
      <c r="D12" s="7">
        <v>20.52</v>
      </c>
      <c r="E12" s="3">
        <v>46166</v>
      </c>
      <c r="F12" t="s">
        <v>440</v>
      </c>
      <c r="G12">
        <f t="shared" si="0"/>
        <v>795.86</v>
      </c>
    </row>
    <row r="13" spans="1:8" x14ac:dyDescent="0.25">
      <c r="C13">
        <f t="shared" si="1"/>
        <v>795.86</v>
      </c>
      <c r="D13">
        <v>12.41</v>
      </c>
      <c r="F13" t="s">
        <v>566</v>
      </c>
      <c r="G13">
        <f t="shared" si="0"/>
        <v>783.45</v>
      </c>
      <c r="H13" t="s">
        <v>378</v>
      </c>
    </row>
    <row r="14" spans="1:8" x14ac:dyDescent="0.25">
      <c r="C14">
        <f t="shared" si="1"/>
        <v>783.45</v>
      </c>
      <c r="D14">
        <v>2.99</v>
      </c>
      <c r="F14" t="s">
        <v>567</v>
      </c>
      <c r="G14">
        <f t="shared" si="0"/>
        <v>780.46</v>
      </c>
    </row>
    <row r="15" spans="1:8" x14ac:dyDescent="0.25">
      <c r="C15">
        <f t="shared" si="1"/>
        <v>780.46</v>
      </c>
      <c r="D15">
        <v>2.99</v>
      </c>
      <c r="F15" t="s">
        <v>568</v>
      </c>
      <c r="G15">
        <f t="shared" si="0"/>
        <v>777.47</v>
      </c>
    </row>
    <row r="16" spans="1:8" x14ac:dyDescent="0.25">
      <c r="C16">
        <f t="shared" si="1"/>
        <v>777.47</v>
      </c>
      <c r="D16">
        <v>13.85</v>
      </c>
      <c r="E16" s="3">
        <v>46169</v>
      </c>
      <c r="F16" t="s">
        <v>566</v>
      </c>
      <c r="G16">
        <f t="shared" si="0"/>
        <v>763.62</v>
      </c>
      <c r="H16" t="s">
        <v>584</v>
      </c>
    </row>
    <row r="17" spans="3:7" x14ac:dyDescent="0.25">
      <c r="C17">
        <f t="shared" si="1"/>
        <v>763.62</v>
      </c>
      <c r="G17">
        <f t="shared" si="0"/>
        <v>763.62</v>
      </c>
    </row>
    <row r="18" spans="3:7" x14ac:dyDescent="0.25">
      <c r="C18">
        <f t="shared" si="1"/>
        <v>763.62</v>
      </c>
      <c r="G18">
        <f t="shared" si="0"/>
        <v>763.62</v>
      </c>
    </row>
    <row r="19" spans="3:7" x14ac:dyDescent="0.25">
      <c r="C19">
        <f t="shared" si="1"/>
        <v>763.62</v>
      </c>
      <c r="G19">
        <f t="shared" si="0"/>
        <v>763.62</v>
      </c>
    </row>
    <row r="20" spans="3:7" x14ac:dyDescent="0.25">
      <c r="C20">
        <f t="shared" si="1"/>
        <v>763.62</v>
      </c>
      <c r="G20">
        <f t="shared" si="0"/>
        <v>763.62</v>
      </c>
    </row>
    <row r="21" spans="3:7" x14ac:dyDescent="0.25">
      <c r="C21">
        <f t="shared" si="1"/>
        <v>763.62</v>
      </c>
      <c r="G21">
        <f t="shared" si="0"/>
        <v>763.62</v>
      </c>
    </row>
    <row r="22" spans="3:7" x14ac:dyDescent="0.25">
      <c r="C22">
        <f t="shared" si="1"/>
        <v>763.62</v>
      </c>
      <c r="G22">
        <f t="shared" si="0"/>
        <v>763.62</v>
      </c>
    </row>
    <row r="23" spans="3:7" x14ac:dyDescent="0.25">
      <c r="C23">
        <f t="shared" si="1"/>
        <v>763.62</v>
      </c>
      <c r="G23">
        <f t="shared" si="0"/>
        <v>763.62</v>
      </c>
    </row>
    <row r="24" spans="3:7" x14ac:dyDescent="0.25">
      <c r="C24">
        <f t="shared" si="1"/>
        <v>763.62</v>
      </c>
      <c r="G24">
        <f t="shared" si="0"/>
        <v>763.62</v>
      </c>
    </row>
    <row r="25" spans="3:7" x14ac:dyDescent="0.25">
      <c r="C25">
        <f t="shared" si="1"/>
        <v>763.62</v>
      </c>
      <c r="G25">
        <f t="shared" si="0"/>
        <v>763.62</v>
      </c>
    </row>
    <row r="26" spans="3:7" x14ac:dyDescent="0.25">
      <c r="G26">
        <f t="shared" si="0"/>
        <v>0</v>
      </c>
    </row>
  </sheetData>
  <hyperlinks>
    <hyperlink ref="A4" location="SHORTCUTS!A1" display="SHORTCUTS" xr:uid="{27A287E3-2ECD-419E-ABE7-A6381746FA5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28A23-CB76-4A56-89DC-E3CDD709C09A}">
  <dimension ref="A1:H25"/>
  <sheetViews>
    <sheetView workbookViewId="0">
      <selection activeCell="A5" sqref="A5"/>
    </sheetView>
  </sheetViews>
  <sheetFormatPr baseColWidth="10" defaultRowHeight="15" x14ac:dyDescent="0.25"/>
  <sheetData>
    <row r="1" spans="1:8" x14ac:dyDescent="0.25">
      <c r="B1" t="s">
        <v>11</v>
      </c>
      <c r="C1" t="s">
        <v>2</v>
      </c>
      <c r="D1" t="s">
        <v>5</v>
      </c>
      <c r="E1" t="s">
        <v>3</v>
      </c>
      <c r="F1" t="s">
        <v>4</v>
      </c>
      <c r="G1" t="s">
        <v>7</v>
      </c>
    </row>
    <row r="2" spans="1:8" x14ac:dyDescent="0.25">
      <c r="A2" t="s">
        <v>1</v>
      </c>
      <c r="C2">
        <v>250</v>
      </c>
      <c r="D2">
        <v>2.34</v>
      </c>
      <c r="E2" s="1">
        <v>46070</v>
      </c>
      <c r="F2" t="s">
        <v>284</v>
      </c>
      <c r="G2">
        <f>C2-D2</f>
        <v>247.66</v>
      </c>
      <c r="H2" t="s">
        <v>285</v>
      </c>
    </row>
    <row r="3" spans="1:8" x14ac:dyDescent="0.25">
      <c r="A3" s="2">
        <v>380</v>
      </c>
      <c r="B3" s="2"/>
      <c r="C3">
        <f>G2</f>
        <v>247.66</v>
      </c>
      <c r="D3">
        <v>44.46</v>
      </c>
      <c r="E3" s="1"/>
      <c r="F3" t="s">
        <v>305</v>
      </c>
      <c r="G3">
        <f t="shared" ref="G3:G25" si="0">C3-D3</f>
        <v>203.2</v>
      </c>
      <c r="H3" t="s">
        <v>306</v>
      </c>
    </row>
    <row r="4" spans="1:8" x14ac:dyDescent="0.25">
      <c r="A4" t="s">
        <v>283</v>
      </c>
      <c r="C4">
        <f t="shared" ref="C4:C23" si="1">G3</f>
        <v>203.2</v>
      </c>
      <c r="G4">
        <f t="shared" si="0"/>
        <v>203.2</v>
      </c>
    </row>
    <row r="5" spans="1:8" x14ac:dyDescent="0.25">
      <c r="A5" s="6" t="s">
        <v>304</v>
      </c>
      <c r="C5">
        <f t="shared" si="1"/>
        <v>203.2</v>
      </c>
      <c r="G5">
        <f t="shared" si="0"/>
        <v>203.2</v>
      </c>
    </row>
    <row r="6" spans="1:8" x14ac:dyDescent="0.25">
      <c r="C6">
        <f t="shared" si="1"/>
        <v>203.2</v>
      </c>
      <c r="G6">
        <f t="shared" si="0"/>
        <v>203.2</v>
      </c>
    </row>
    <row r="7" spans="1:8" x14ac:dyDescent="0.25">
      <c r="C7">
        <f t="shared" si="1"/>
        <v>203.2</v>
      </c>
      <c r="G7">
        <f t="shared" si="0"/>
        <v>203.2</v>
      </c>
    </row>
    <row r="8" spans="1:8" x14ac:dyDescent="0.25">
      <c r="C8">
        <f t="shared" si="1"/>
        <v>203.2</v>
      </c>
      <c r="G8">
        <f t="shared" si="0"/>
        <v>203.2</v>
      </c>
    </row>
    <row r="9" spans="1:8" x14ac:dyDescent="0.25">
      <c r="C9">
        <f t="shared" si="1"/>
        <v>203.2</v>
      </c>
      <c r="G9">
        <f t="shared" si="0"/>
        <v>203.2</v>
      </c>
    </row>
    <row r="10" spans="1:8" x14ac:dyDescent="0.25">
      <c r="C10">
        <f t="shared" si="1"/>
        <v>203.2</v>
      </c>
      <c r="G10">
        <f t="shared" si="0"/>
        <v>203.2</v>
      </c>
    </row>
    <row r="11" spans="1:8" x14ac:dyDescent="0.25">
      <c r="C11">
        <f t="shared" si="1"/>
        <v>203.2</v>
      </c>
      <c r="G11">
        <f t="shared" si="0"/>
        <v>203.2</v>
      </c>
    </row>
    <row r="12" spans="1:8" x14ac:dyDescent="0.25">
      <c r="C12">
        <f t="shared" si="1"/>
        <v>203.2</v>
      </c>
      <c r="G12">
        <f t="shared" si="0"/>
        <v>203.2</v>
      </c>
    </row>
    <row r="13" spans="1:8" x14ac:dyDescent="0.25">
      <c r="C13">
        <f t="shared" si="1"/>
        <v>203.2</v>
      </c>
      <c r="G13">
        <f t="shared" si="0"/>
        <v>203.2</v>
      </c>
    </row>
    <row r="14" spans="1:8" x14ac:dyDescent="0.25">
      <c r="C14">
        <f t="shared" si="1"/>
        <v>203.2</v>
      </c>
      <c r="G14">
        <f t="shared" si="0"/>
        <v>203.2</v>
      </c>
    </row>
    <row r="15" spans="1:8" x14ac:dyDescent="0.25">
      <c r="C15">
        <f t="shared" si="1"/>
        <v>203.2</v>
      </c>
      <c r="G15">
        <f t="shared" si="0"/>
        <v>203.2</v>
      </c>
    </row>
    <row r="16" spans="1:8" x14ac:dyDescent="0.25">
      <c r="C16">
        <f t="shared" si="1"/>
        <v>203.2</v>
      </c>
      <c r="G16">
        <f t="shared" si="0"/>
        <v>203.2</v>
      </c>
    </row>
    <row r="17" spans="3:7" x14ac:dyDescent="0.25">
      <c r="C17">
        <f t="shared" si="1"/>
        <v>203.2</v>
      </c>
      <c r="G17">
        <f t="shared" si="0"/>
        <v>203.2</v>
      </c>
    </row>
    <row r="18" spans="3:7" x14ac:dyDescent="0.25">
      <c r="C18">
        <f t="shared" si="1"/>
        <v>203.2</v>
      </c>
      <c r="G18">
        <f t="shared" si="0"/>
        <v>203.2</v>
      </c>
    </row>
    <row r="19" spans="3:7" x14ac:dyDescent="0.25">
      <c r="C19">
        <f t="shared" si="1"/>
        <v>203.2</v>
      </c>
      <c r="G19">
        <f t="shared" si="0"/>
        <v>203.2</v>
      </c>
    </row>
    <row r="20" spans="3:7" x14ac:dyDescent="0.25">
      <c r="C20">
        <f t="shared" si="1"/>
        <v>203.2</v>
      </c>
      <c r="G20">
        <f t="shared" si="0"/>
        <v>203.2</v>
      </c>
    </row>
    <row r="21" spans="3:7" x14ac:dyDescent="0.25">
      <c r="C21">
        <f t="shared" si="1"/>
        <v>203.2</v>
      </c>
      <c r="G21">
        <f t="shared" si="0"/>
        <v>203.2</v>
      </c>
    </row>
    <row r="22" spans="3:7" x14ac:dyDescent="0.25">
      <c r="C22">
        <f t="shared" si="1"/>
        <v>203.2</v>
      </c>
      <c r="G22">
        <f t="shared" si="0"/>
        <v>203.2</v>
      </c>
    </row>
    <row r="23" spans="3:7" x14ac:dyDescent="0.25">
      <c r="C23">
        <f t="shared" si="1"/>
        <v>203.2</v>
      </c>
      <c r="G23">
        <f t="shared" si="0"/>
        <v>203.2</v>
      </c>
    </row>
    <row r="24" spans="3:7" x14ac:dyDescent="0.25">
      <c r="G24">
        <f t="shared" si="0"/>
        <v>0</v>
      </c>
    </row>
    <row r="25" spans="3:7" x14ac:dyDescent="0.25">
      <c r="G25">
        <f t="shared" si="0"/>
        <v>0</v>
      </c>
    </row>
  </sheetData>
  <hyperlinks>
    <hyperlink ref="A5" location="SHORTCUTS!A1" display="SHORTCUTS" xr:uid="{891A61DC-ED42-4EE7-A4D2-1B779234976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CF64-5611-4398-BCDC-896A2BA0F3CE}">
  <dimension ref="A1:H25"/>
  <sheetViews>
    <sheetView workbookViewId="0">
      <selection activeCell="A5" sqref="A5"/>
    </sheetView>
  </sheetViews>
  <sheetFormatPr baseColWidth="10" defaultRowHeight="15" x14ac:dyDescent="0.25"/>
  <sheetData>
    <row r="1" spans="1:8" x14ac:dyDescent="0.25">
      <c r="B1" t="s">
        <v>11</v>
      </c>
      <c r="C1" t="s">
        <v>2</v>
      </c>
      <c r="D1" t="s">
        <v>5</v>
      </c>
      <c r="E1" t="s">
        <v>3</v>
      </c>
      <c r="F1" t="s">
        <v>4</v>
      </c>
      <c r="G1" t="s">
        <v>7</v>
      </c>
    </row>
    <row r="2" spans="1:8" x14ac:dyDescent="0.25">
      <c r="A2" t="s">
        <v>1</v>
      </c>
      <c r="C2">
        <v>250</v>
      </c>
      <c r="D2">
        <v>7.03</v>
      </c>
      <c r="E2" s="1">
        <v>46067</v>
      </c>
      <c r="F2" t="s">
        <v>271</v>
      </c>
      <c r="G2">
        <f>C2-D2</f>
        <v>242.97</v>
      </c>
      <c r="H2" t="s">
        <v>270</v>
      </c>
    </row>
    <row r="3" spans="1:8" x14ac:dyDescent="0.25">
      <c r="A3" s="2">
        <v>380</v>
      </c>
      <c r="B3" s="2"/>
      <c r="C3">
        <f>G2</f>
        <v>242.97</v>
      </c>
      <c r="D3">
        <v>4.16</v>
      </c>
      <c r="E3" s="1"/>
      <c r="F3" t="s">
        <v>272</v>
      </c>
      <c r="G3">
        <f t="shared" ref="G3:G25" si="0">C3-D3</f>
        <v>238.81</v>
      </c>
      <c r="H3" t="s">
        <v>273</v>
      </c>
    </row>
    <row r="4" spans="1:8" x14ac:dyDescent="0.25">
      <c r="A4" t="s">
        <v>289</v>
      </c>
      <c r="C4">
        <f t="shared" ref="C4:C23" si="1">G3</f>
        <v>238.81</v>
      </c>
      <c r="D4">
        <v>2.34</v>
      </c>
      <c r="E4" s="3">
        <v>46070</v>
      </c>
      <c r="F4" t="s">
        <v>284</v>
      </c>
      <c r="G4">
        <f t="shared" si="0"/>
        <v>236.47</v>
      </c>
      <c r="H4">
        <v>11</v>
      </c>
    </row>
    <row r="5" spans="1:8" x14ac:dyDescent="0.25">
      <c r="A5" s="6" t="s">
        <v>304</v>
      </c>
      <c r="C5">
        <f t="shared" si="1"/>
        <v>236.47</v>
      </c>
      <c r="D5">
        <v>75.28</v>
      </c>
      <c r="E5" s="3">
        <v>46072</v>
      </c>
      <c r="F5" t="s">
        <v>309</v>
      </c>
      <c r="G5">
        <f t="shared" si="0"/>
        <v>161.19</v>
      </c>
      <c r="H5" t="s">
        <v>310</v>
      </c>
    </row>
    <row r="6" spans="1:8" x14ac:dyDescent="0.25">
      <c r="C6">
        <f t="shared" si="1"/>
        <v>161.19</v>
      </c>
      <c r="G6">
        <f t="shared" si="0"/>
        <v>161.19</v>
      </c>
    </row>
    <row r="7" spans="1:8" x14ac:dyDescent="0.25">
      <c r="C7">
        <f t="shared" si="1"/>
        <v>161.19</v>
      </c>
      <c r="G7">
        <f t="shared" si="0"/>
        <v>161.19</v>
      </c>
    </row>
    <row r="8" spans="1:8" x14ac:dyDescent="0.25">
      <c r="C8">
        <f t="shared" si="1"/>
        <v>161.19</v>
      </c>
      <c r="G8">
        <f t="shared" si="0"/>
        <v>161.19</v>
      </c>
    </row>
    <row r="9" spans="1:8" x14ac:dyDescent="0.25">
      <c r="C9">
        <f t="shared" si="1"/>
        <v>161.19</v>
      </c>
      <c r="G9">
        <f t="shared" si="0"/>
        <v>161.19</v>
      </c>
    </row>
    <row r="10" spans="1:8" x14ac:dyDescent="0.25">
      <c r="C10">
        <f t="shared" si="1"/>
        <v>161.19</v>
      </c>
      <c r="G10">
        <f t="shared" si="0"/>
        <v>161.19</v>
      </c>
    </row>
    <row r="11" spans="1:8" x14ac:dyDescent="0.25">
      <c r="C11">
        <f t="shared" si="1"/>
        <v>161.19</v>
      </c>
      <c r="G11">
        <f t="shared" si="0"/>
        <v>161.19</v>
      </c>
    </row>
    <row r="12" spans="1:8" x14ac:dyDescent="0.25">
      <c r="C12">
        <f t="shared" si="1"/>
        <v>161.19</v>
      </c>
      <c r="G12">
        <f t="shared" si="0"/>
        <v>161.19</v>
      </c>
    </row>
    <row r="13" spans="1:8" x14ac:dyDescent="0.25">
      <c r="C13">
        <f t="shared" si="1"/>
        <v>161.19</v>
      </c>
      <c r="G13">
        <f t="shared" si="0"/>
        <v>161.19</v>
      </c>
    </row>
    <row r="14" spans="1:8" x14ac:dyDescent="0.25">
      <c r="C14">
        <f t="shared" si="1"/>
        <v>161.19</v>
      </c>
      <c r="G14">
        <f t="shared" si="0"/>
        <v>161.19</v>
      </c>
    </row>
    <row r="15" spans="1:8" x14ac:dyDescent="0.25">
      <c r="C15">
        <f t="shared" si="1"/>
        <v>161.19</v>
      </c>
      <c r="G15">
        <f t="shared" si="0"/>
        <v>161.19</v>
      </c>
    </row>
    <row r="16" spans="1:8" x14ac:dyDescent="0.25">
      <c r="C16">
        <f t="shared" si="1"/>
        <v>161.19</v>
      </c>
      <c r="G16">
        <f t="shared" si="0"/>
        <v>161.19</v>
      </c>
    </row>
    <row r="17" spans="3:7" x14ac:dyDescent="0.25">
      <c r="C17">
        <f t="shared" si="1"/>
        <v>161.19</v>
      </c>
      <c r="G17">
        <f t="shared" si="0"/>
        <v>161.19</v>
      </c>
    </row>
    <row r="18" spans="3:7" x14ac:dyDescent="0.25">
      <c r="C18">
        <f t="shared" si="1"/>
        <v>161.19</v>
      </c>
      <c r="G18">
        <f t="shared" si="0"/>
        <v>161.19</v>
      </c>
    </row>
    <row r="19" spans="3:7" x14ac:dyDescent="0.25">
      <c r="C19">
        <f t="shared" si="1"/>
        <v>161.19</v>
      </c>
      <c r="G19">
        <f t="shared" si="0"/>
        <v>161.19</v>
      </c>
    </row>
    <row r="20" spans="3:7" x14ac:dyDescent="0.25">
      <c r="C20">
        <f t="shared" si="1"/>
        <v>161.19</v>
      </c>
      <c r="G20">
        <f t="shared" si="0"/>
        <v>161.19</v>
      </c>
    </row>
    <row r="21" spans="3:7" x14ac:dyDescent="0.25">
      <c r="C21">
        <f t="shared" si="1"/>
        <v>161.19</v>
      </c>
      <c r="G21">
        <f t="shared" si="0"/>
        <v>161.19</v>
      </c>
    </row>
    <row r="22" spans="3:7" x14ac:dyDescent="0.25">
      <c r="C22">
        <f t="shared" si="1"/>
        <v>161.19</v>
      </c>
      <c r="G22">
        <f t="shared" si="0"/>
        <v>161.19</v>
      </c>
    </row>
    <row r="23" spans="3:7" x14ac:dyDescent="0.25">
      <c r="C23">
        <f t="shared" si="1"/>
        <v>161.19</v>
      </c>
      <c r="G23">
        <f t="shared" si="0"/>
        <v>161.19</v>
      </c>
    </row>
    <row r="24" spans="3:7" x14ac:dyDescent="0.25">
      <c r="G24">
        <f t="shared" si="0"/>
        <v>0</v>
      </c>
    </row>
    <row r="25" spans="3:7" x14ac:dyDescent="0.25">
      <c r="G25">
        <f t="shared" si="0"/>
        <v>0</v>
      </c>
    </row>
  </sheetData>
  <hyperlinks>
    <hyperlink ref="A5" location="SHORTCUTS!A1" display="SHORTCUTS" xr:uid="{4C701233-4096-41E1-B2EA-0C134A5AD3C1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5C29-B936-4EAF-A7EF-B9A5EFFA1558}">
  <dimension ref="A1:H28"/>
  <sheetViews>
    <sheetView workbookViewId="0">
      <selection activeCell="A2" sqref="A2"/>
    </sheetView>
  </sheetViews>
  <sheetFormatPr baseColWidth="10" defaultRowHeight="15" x14ac:dyDescent="0.25"/>
  <sheetData>
    <row r="1" spans="1:8" x14ac:dyDescent="0.25">
      <c r="A1" t="s">
        <v>280</v>
      </c>
    </row>
    <row r="2" spans="1:8" x14ac:dyDescent="0.25">
      <c r="A2" s="6" t="s">
        <v>304</v>
      </c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B3">
        <v>289</v>
      </c>
      <c r="C3">
        <v>1000</v>
      </c>
      <c r="D3">
        <v>2.72</v>
      </c>
      <c r="E3" s="1">
        <v>46070</v>
      </c>
      <c r="F3" t="s">
        <v>272</v>
      </c>
      <c r="G3">
        <f>C3-D3</f>
        <v>997.28</v>
      </c>
      <c r="H3" t="s">
        <v>214</v>
      </c>
    </row>
    <row r="4" spans="1:8" x14ac:dyDescent="0.25">
      <c r="C4">
        <f>G3</f>
        <v>997.28</v>
      </c>
      <c r="D4">
        <v>13.56</v>
      </c>
      <c r="F4" t="s">
        <v>281</v>
      </c>
      <c r="G4">
        <f>C4-D4</f>
        <v>983.72</v>
      </c>
      <c r="H4" t="s">
        <v>282</v>
      </c>
    </row>
    <row r="5" spans="1:8" x14ac:dyDescent="0.25">
      <c r="C5">
        <f t="shared" ref="C5:C28" si="0">G4</f>
        <v>983.72</v>
      </c>
      <c r="D5">
        <v>6</v>
      </c>
      <c r="E5" s="3">
        <v>46140</v>
      </c>
      <c r="F5" t="s">
        <v>450</v>
      </c>
      <c r="G5">
        <f>C5-'Cafe Mexicomakers'!D6</f>
        <v>982.72</v>
      </c>
      <c r="H5" t="s">
        <v>451</v>
      </c>
    </row>
    <row r="6" spans="1:8" x14ac:dyDescent="0.25">
      <c r="C6">
        <f t="shared" si="0"/>
        <v>982.72</v>
      </c>
      <c r="G6">
        <f>C6-'Cafe Mexicomakers'!D7</f>
        <v>951.72</v>
      </c>
    </row>
    <row r="7" spans="1:8" x14ac:dyDescent="0.25">
      <c r="C7">
        <f t="shared" si="0"/>
        <v>951.72</v>
      </c>
      <c r="G7">
        <f t="shared" ref="G7:G28" si="1">C7-D7</f>
        <v>951.72</v>
      </c>
    </row>
    <row r="8" spans="1:8" x14ac:dyDescent="0.25">
      <c r="C8">
        <f t="shared" si="0"/>
        <v>951.72</v>
      </c>
      <c r="G8">
        <f t="shared" si="1"/>
        <v>951.72</v>
      </c>
    </row>
    <row r="9" spans="1:8" x14ac:dyDescent="0.25">
      <c r="C9">
        <f t="shared" si="0"/>
        <v>951.72</v>
      </c>
      <c r="G9">
        <f t="shared" si="1"/>
        <v>951.72</v>
      </c>
    </row>
    <row r="10" spans="1:8" x14ac:dyDescent="0.25">
      <c r="C10">
        <f t="shared" si="0"/>
        <v>951.72</v>
      </c>
      <c r="G10">
        <f t="shared" si="1"/>
        <v>951.72</v>
      </c>
    </row>
    <row r="11" spans="1:8" x14ac:dyDescent="0.25">
      <c r="C11">
        <f t="shared" si="0"/>
        <v>951.72</v>
      </c>
      <c r="G11">
        <f t="shared" si="1"/>
        <v>951.72</v>
      </c>
    </row>
    <row r="12" spans="1:8" x14ac:dyDescent="0.25">
      <c r="C12">
        <f t="shared" si="0"/>
        <v>951.72</v>
      </c>
      <c r="G12">
        <f t="shared" si="1"/>
        <v>951.72</v>
      </c>
    </row>
    <row r="13" spans="1:8" x14ac:dyDescent="0.25">
      <c r="C13">
        <f t="shared" si="0"/>
        <v>951.72</v>
      </c>
      <c r="G13">
        <f t="shared" si="1"/>
        <v>951.72</v>
      </c>
    </row>
    <row r="14" spans="1:8" x14ac:dyDescent="0.25">
      <c r="C14">
        <f t="shared" si="0"/>
        <v>951.72</v>
      </c>
      <c r="G14">
        <f t="shared" si="1"/>
        <v>951.72</v>
      </c>
    </row>
    <row r="15" spans="1:8" x14ac:dyDescent="0.25">
      <c r="C15">
        <f t="shared" si="0"/>
        <v>951.72</v>
      </c>
      <c r="G15">
        <f t="shared" si="1"/>
        <v>951.72</v>
      </c>
    </row>
    <row r="16" spans="1:8" x14ac:dyDescent="0.25">
      <c r="C16">
        <f t="shared" si="0"/>
        <v>951.72</v>
      </c>
      <c r="G16">
        <f t="shared" si="1"/>
        <v>951.72</v>
      </c>
    </row>
    <row r="17" spans="3:7" x14ac:dyDescent="0.25">
      <c r="C17">
        <f t="shared" si="0"/>
        <v>951.72</v>
      </c>
      <c r="G17">
        <f t="shared" si="1"/>
        <v>951.72</v>
      </c>
    </row>
    <row r="18" spans="3:7" x14ac:dyDescent="0.25">
      <c r="C18">
        <f t="shared" si="0"/>
        <v>951.72</v>
      </c>
      <c r="G18">
        <f t="shared" si="1"/>
        <v>951.72</v>
      </c>
    </row>
    <row r="19" spans="3:7" x14ac:dyDescent="0.25">
      <c r="C19">
        <f t="shared" si="0"/>
        <v>951.72</v>
      </c>
      <c r="G19">
        <f t="shared" si="1"/>
        <v>951.72</v>
      </c>
    </row>
    <row r="20" spans="3:7" x14ac:dyDescent="0.25">
      <c r="C20">
        <f t="shared" si="0"/>
        <v>951.72</v>
      </c>
      <c r="G20">
        <f t="shared" si="1"/>
        <v>951.72</v>
      </c>
    </row>
    <row r="21" spans="3:7" x14ac:dyDescent="0.25">
      <c r="C21">
        <f t="shared" si="0"/>
        <v>951.72</v>
      </c>
      <c r="G21">
        <f t="shared" si="1"/>
        <v>951.72</v>
      </c>
    </row>
    <row r="22" spans="3:7" x14ac:dyDescent="0.25">
      <c r="C22">
        <f t="shared" si="0"/>
        <v>951.72</v>
      </c>
      <c r="G22">
        <f t="shared" si="1"/>
        <v>951.72</v>
      </c>
    </row>
    <row r="23" spans="3:7" x14ac:dyDescent="0.25">
      <c r="C23">
        <f t="shared" si="0"/>
        <v>951.72</v>
      </c>
      <c r="G23">
        <f t="shared" si="1"/>
        <v>951.72</v>
      </c>
    </row>
    <row r="24" spans="3:7" x14ac:dyDescent="0.25">
      <c r="C24">
        <f t="shared" si="0"/>
        <v>951.72</v>
      </c>
      <c r="G24">
        <f t="shared" si="1"/>
        <v>951.72</v>
      </c>
    </row>
    <row r="25" spans="3:7" x14ac:dyDescent="0.25">
      <c r="C25">
        <f t="shared" si="0"/>
        <v>951.72</v>
      </c>
      <c r="G25">
        <f t="shared" si="1"/>
        <v>951.72</v>
      </c>
    </row>
    <row r="26" spans="3:7" x14ac:dyDescent="0.25">
      <c r="C26">
        <f t="shared" si="0"/>
        <v>951.72</v>
      </c>
      <c r="G26">
        <f t="shared" si="1"/>
        <v>951.72</v>
      </c>
    </row>
    <row r="27" spans="3:7" x14ac:dyDescent="0.25">
      <c r="C27">
        <f t="shared" si="0"/>
        <v>951.72</v>
      </c>
      <c r="G27">
        <f t="shared" si="1"/>
        <v>951.72</v>
      </c>
    </row>
    <row r="28" spans="3:7" x14ac:dyDescent="0.25">
      <c r="C28">
        <f t="shared" si="0"/>
        <v>951.72</v>
      </c>
      <c r="G28">
        <f t="shared" si="1"/>
        <v>951.72</v>
      </c>
    </row>
  </sheetData>
  <hyperlinks>
    <hyperlink ref="A2" location="SHORTCUTS!A1" display="SHORTCUTS" xr:uid="{34612CE1-A9D0-490C-A795-E543044696C9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6C61-1FDB-48C6-90CF-25400670DB4B}">
  <dimension ref="A1:H3"/>
  <sheetViews>
    <sheetView workbookViewId="0">
      <selection activeCell="H4" sqref="H4"/>
    </sheetView>
  </sheetViews>
  <sheetFormatPr baseColWidth="10" defaultRowHeight="15" x14ac:dyDescent="0.25"/>
  <sheetData>
    <row r="1" spans="1:8" x14ac:dyDescent="0.25">
      <c r="A1" t="s">
        <v>325</v>
      </c>
    </row>
    <row r="2" spans="1:8" x14ac:dyDescent="0.25"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B3">
        <v>380</v>
      </c>
      <c r="C3">
        <v>1000</v>
      </c>
      <c r="D3">
        <v>2.2400000000000002</v>
      </c>
      <c r="E3" s="1">
        <v>46073</v>
      </c>
      <c r="F3" t="s">
        <v>326</v>
      </c>
      <c r="G3">
        <f>C3-D3</f>
        <v>997.76</v>
      </c>
      <c r="H3">
        <v>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F61D-7508-4173-8C52-EA544F094A68}">
  <dimension ref="A1:H22"/>
  <sheetViews>
    <sheetView workbookViewId="0">
      <selection activeCell="A2" sqref="A2"/>
    </sheetView>
  </sheetViews>
  <sheetFormatPr baseColWidth="10" defaultRowHeight="15" x14ac:dyDescent="0.25"/>
  <sheetData>
    <row r="1" spans="1:8" x14ac:dyDescent="0.25">
      <c r="A1" t="s">
        <v>327</v>
      </c>
    </row>
    <row r="2" spans="1:8" x14ac:dyDescent="0.25">
      <c r="A2" s="6" t="s">
        <v>304</v>
      </c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B3">
        <v>380</v>
      </c>
      <c r="C3">
        <v>250</v>
      </c>
      <c r="D3">
        <v>2.2400000000000002</v>
      </c>
      <c r="E3" s="1">
        <v>46073</v>
      </c>
      <c r="F3" t="s">
        <v>328</v>
      </c>
      <c r="G3">
        <f>C3-D3</f>
        <v>247.76</v>
      </c>
      <c r="H3">
        <v>15</v>
      </c>
    </row>
    <row r="4" spans="1:8" x14ac:dyDescent="0.25">
      <c r="C4">
        <f>G3</f>
        <v>247.76</v>
      </c>
      <c r="D4">
        <v>132.47999999999999</v>
      </c>
      <c r="F4" t="s">
        <v>329</v>
      </c>
      <c r="G4">
        <f>C4-D4</f>
        <v>115.28</v>
      </c>
      <c r="H4" t="s">
        <v>330</v>
      </c>
    </row>
    <row r="5" spans="1:8" x14ac:dyDescent="0.25">
      <c r="C5">
        <f t="shared" ref="C5:C22" si="0">G4</f>
        <v>115.28</v>
      </c>
      <c r="D5">
        <v>43.99</v>
      </c>
      <c r="E5" s="3">
        <v>46127</v>
      </c>
      <c r="F5" t="s">
        <v>424</v>
      </c>
      <c r="G5">
        <f>C5-D5</f>
        <v>71.289999999999992</v>
      </c>
      <c r="H5" t="s">
        <v>425</v>
      </c>
    </row>
    <row r="6" spans="1:8" x14ac:dyDescent="0.25">
      <c r="C6">
        <f t="shared" si="0"/>
        <v>71.289999999999992</v>
      </c>
    </row>
    <row r="7" spans="1:8" x14ac:dyDescent="0.25">
      <c r="C7">
        <f t="shared" si="0"/>
        <v>0</v>
      </c>
    </row>
    <row r="8" spans="1:8" x14ac:dyDescent="0.25">
      <c r="C8">
        <f t="shared" si="0"/>
        <v>0</v>
      </c>
    </row>
    <row r="9" spans="1:8" x14ac:dyDescent="0.25">
      <c r="C9">
        <f t="shared" si="0"/>
        <v>0</v>
      </c>
    </row>
    <row r="10" spans="1:8" x14ac:dyDescent="0.25">
      <c r="C10">
        <f t="shared" si="0"/>
        <v>0</v>
      </c>
    </row>
    <row r="11" spans="1:8" x14ac:dyDescent="0.25">
      <c r="C11">
        <f t="shared" si="0"/>
        <v>0</v>
      </c>
    </row>
    <row r="12" spans="1:8" x14ac:dyDescent="0.25">
      <c r="C12">
        <f t="shared" si="0"/>
        <v>0</v>
      </c>
    </row>
    <row r="13" spans="1:8" x14ac:dyDescent="0.25">
      <c r="C13">
        <f t="shared" si="0"/>
        <v>0</v>
      </c>
    </row>
    <row r="14" spans="1:8" x14ac:dyDescent="0.25">
      <c r="C14">
        <f t="shared" si="0"/>
        <v>0</v>
      </c>
    </row>
    <row r="15" spans="1:8" x14ac:dyDescent="0.25">
      <c r="C15">
        <f t="shared" si="0"/>
        <v>0</v>
      </c>
    </row>
    <row r="16" spans="1:8" x14ac:dyDescent="0.25">
      <c r="C16">
        <f t="shared" si="0"/>
        <v>0</v>
      </c>
    </row>
    <row r="17" spans="3:3" x14ac:dyDescent="0.25">
      <c r="C17">
        <f t="shared" si="0"/>
        <v>0</v>
      </c>
    </row>
    <row r="18" spans="3:3" x14ac:dyDescent="0.25">
      <c r="C18">
        <f t="shared" si="0"/>
        <v>0</v>
      </c>
    </row>
    <row r="19" spans="3:3" x14ac:dyDescent="0.25">
      <c r="C19">
        <f t="shared" si="0"/>
        <v>0</v>
      </c>
    </row>
    <row r="20" spans="3:3" x14ac:dyDescent="0.25">
      <c r="C20">
        <f t="shared" si="0"/>
        <v>0</v>
      </c>
    </row>
    <row r="21" spans="3:3" x14ac:dyDescent="0.25">
      <c r="C21">
        <f t="shared" si="0"/>
        <v>0</v>
      </c>
    </row>
    <row r="22" spans="3:3" x14ac:dyDescent="0.25">
      <c r="C22">
        <f t="shared" si="0"/>
        <v>0</v>
      </c>
    </row>
  </sheetData>
  <hyperlinks>
    <hyperlink ref="A2" location="SHORTCUTS!A1" display="SHORTCUTS" xr:uid="{E2165FD9-88D2-4162-B84A-853B38C69CB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7DF-A7C5-4FF2-BE0A-58EBFFDC15DD}">
  <dimension ref="A1:H31"/>
  <sheetViews>
    <sheetView workbookViewId="0">
      <selection activeCell="B2" sqref="B2:H3"/>
    </sheetView>
  </sheetViews>
  <sheetFormatPr baseColWidth="10" defaultRowHeight="15" x14ac:dyDescent="0.25"/>
  <cols>
    <col min="6" max="6" width="19.140625" customWidth="1"/>
  </cols>
  <sheetData>
    <row r="1" spans="1:8" x14ac:dyDescent="0.25">
      <c r="A1" t="s">
        <v>345</v>
      </c>
    </row>
    <row r="2" spans="1:8" x14ac:dyDescent="0.25">
      <c r="A2" s="6" t="s">
        <v>304</v>
      </c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B3">
        <v>289</v>
      </c>
      <c r="C3">
        <v>1000</v>
      </c>
      <c r="D3">
        <v>4.0199999999999996</v>
      </c>
      <c r="E3" s="1">
        <v>46077</v>
      </c>
      <c r="F3" t="s">
        <v>272</v>
      </c>
      <c r="G3">
        <f>C3-D3</f>
        <v>995.98</v>
      </c>
      <c r="H3" t="s">
        <v>343</v>
      </c>
    </row>
    <row r="4" spans="1:8" x14ac:dyDescent="0.25">
      <c r="C4">
        <f>G3</f>
        <v>995.98</v>
      </c>
      <c r="D4">
        <v>10</v>
      </c>
      <c r="F4" t="s">
        <v>346</v>
      </c>
      <c r="G4">
        <f>C4-D4</f>
        <v>985.98</v>
      </c>
      <c r="H4" t="s">
        <v>347</v>
      </c>
    </row>
    <row r="5" spans="1:8" x14ac:dyDescent="0.25">
      <c r="C5">
        <f t="shared" ref="C5:C31" si="0">G4</f>
        <v>985.98</v>
      </c>
      <c r="D5">
        <v>7.62</v>
      </c>
      <c r="F5" t="s">
        <v>348</v>
      </c>
      <c r="G5">
        <f>C5-D5</f>
        <v>978.36</v>
      </c>
      <c r="H5" t="s">
        <v>349</v>
      </c>
    </row>
    <row r="6" spans="1:8" x14ac:dyDescent="0.25">
      <c r="C6">
        <f t="shared" si="0"/>
        <v>978.36</v>
      </c>
      <c r="D6">
        <v>1</v>
      </c>
      <c r="F6" t="s">
        <v>354</v>
      </c>
      <c r="G6">
        <f>C6-D6</f>
        <v>977.36</v>
      </c>
    </row>
    <row r="7" spans="1:8" x14ac:dyDescent="0.25">
      <c r="C7">
        <f t="shared" si="0"/>
        <v>977.36</v>
      </c>
      <c r="D7">
        <v>31</v>
      </c>
      <c r="E7" s="3">
        <v>46119</v>
      </c>
      <c r="F7" t="s">
        <v>416</v>
      </c>
      <c r="G7">
        <f t="shared" ref="G7:G30" si="1">C7-D7</f>
        <v>946.36</v>
      </c>
    </row>
    <row r="8" spans="1:8" x14ac:dyDescent="0.25">
      <c r="C8">
        <f t="shared" si="0"/>
        <v>946.36</v>
      </c>
      <c r="D8">
        <v>12.82</v>
      </c>
      <c r="E8" s="3">
        <v>46148</v>
      </c>
      <c r="F8" t="s">
        <v>489</v>
      </c>
      <c r="G8">
        <f t="shared" si="1"/>
        <v>933.54</v>
      </c>
      <c r="H8" t="s">
        <v>490</v>
      </c>
    </row>
    <row r="9" spans="1:8" x14ac:dyDescent="0.25">
      <c r="C9">
        <f t="shared" si="0"/>
        <v>933.54</v>
      </c>
      <c r="G9">
        <f t="shared" si="1"/>
        <v>933.54</v>
      </c>
    </row>
    <row r="10" spans="1:8" x14ac:dyDescent="0.25">
      <c r="C10">
        <f t="shared" si="0"/>
        <v>933.54</v>
      </c>
      <c r="G10">
        <f t="shared" si="1"/>
        <v>933.54</v>
      </c>
    </row>
    <row r="11" spans="1:8" x14ac:dyDescent="0.25">
      <c r="C11">
        <f t="shared" si="0"/>
        <v>933.54</v>
      </c>
      <c r="G11">
        <f t="shared" si="1"/>
        <v>933.54</v>
      </c>
    </row>
    <row r="12" spans="1:8" x14ac:dyDescent="0.25">
      <c r="C12">
        <f t="shared" si="0"/>
        <v>933.54</v>
      </c>
      <c r="G12">
        <f t="shared" si="1"/>
        <v>933.54</v>
      </c>
    </row>
    <row r="13" spans="1:8" x14ac:dyDescent="0.25">
      <c r="C13">
        <f t="shared" si="0"/>
        <v>933.54</v>
      </c>
      <c r="G13">
        <f t="shared" si="1"/>
        <v>933.54</v>
      </c>
    </row>
    <row r="14" spans="1:8" x14ac:dyDescent="0.25">
      <c r="C14">
        <f t="shared" si="0"/>
        <v>933.54</v>
      </c>
      <c r="G14">
        <f t="shared" si="1"/>
        <v>933.54</v>
      </c>
    </row>
    <row r="15" spans="1:8" x14ac:dyDescent="0.25">
      <c r="C15">
        <f t="shared" si="0"/>
        <v>933.54</v>
      </c>
      <c r="G15">
        <f t="shared" si="1"/>
        <v>933.54</v>
      </c>
    </row>
    <row r="16" spans="1:8" x14ac:dyDescent="0.25">
      <c r="C16">
        <f t="shared" si="0"/>
        <v>933.54</v>
      </c>
      <c r="G16">
        <f t="shared" si="1"/>
        <v>933.54</v>
      </c>
    </row>
    <row r="17" spans="3:7" x14ac:dyDescent="0.25">
      <c r="C17">
        <f t="shared" si="0"/>
        <v>933.54</v>
      </c>
      <c r="G17">
        <f t="shared" si="1"/>
        <v>933.54</v>
      </c>
    </row>
    <row r="18" spans="3:7" x14ac:dyDescent="0.25">
      <c r="C18">
        <f t="shared" si="0"/>
        <v>933.54</v>
      </c>
      <c r="G18">
        <f t="shared" si="1"/>
        <v>933.54</v>
      </c>
    </row>
    <row r="19" spans="3:7" x14ac:dyDescent="0.25">
      <c r="C19">
        <f t="shared" si="0"/>
        <v>933.54</v>
      </c>
      <c r="G19">
        <f t="shared" si="1"/>
        <v>933.54</v>
      </c>
    </row>
    <row r="20" spans="3:7" x14ac:dyDescent="0.25">
      <c r="C20">
        <f t="shared" si="0"/>
        <v>933.54</v>
      </c>
      <c r="G20">
        <f t="shared" si="1"/>
        <v>933.54</v>
      </c>
    </row>
    <row r="21" spans="3:7" x14ac:dyDescent="0.25">
      <c r="C21">
        <f t="shared" si="0"/>
        <v>933.54</v>
      </c>
      <c r="G21">
        <f t="shared" si="1"/>
        <v>933.54</v>
      </c>
    </row>
    <row r="22" spans="3:7" x14ac:dyDescent="0.25">
      <c r="C22">
        <f t="shared" si="0"/>
        <v>933.54</v>
      </c>
      <c r="G22">
        <f t="shared" si="1"/>
        <v>933.54</v>
      </c>
    </row>
    <row r="23" spans="3:7" x14ac:dyDescent="0.25">
      <c r="C23">
        <f t="shared" si="0"/>
        <v>933.54</v>
      </c>
      <c r="G23">
        <f t="shared" si="1"/>
        <v>933.54</v>
      </c>
    </row>
    <row r="24" spans="3:7" x14ac:dyDescent="0.25">
      <c r="C24">
        <f t="shared" si="0"/>
        <v>933.54</v>
      </c>
      <c r="G24">
        <f t="shared" si="1"/>
        <v>933.54</v>
      </c>
    </row>
    <row r="25" spans="3:7" x14ac:dyDescent="0.25">
      <c r="C25">
        <f t="shared" si="0"/>
        <v>933.54</v>
      </c>
      <c r="G25">
        <f t="shared" si="1"/>
        <v>933.54</v>
      </c>
    </row>
    <row r="26" spans="3:7" x14ac:dyDescent="0.25">
      <c r="C26">
        <f t="shared" si="0"/>
        <v>933.54</v>
      </c>
      <c r="G26">
        <f t="shared" si="1"/>
        <v>933.54</v>
      </c>
    </row>
    <row r="27" spans="3:7" x14ac:dyDescent="0.25">
      <c r="C27">
        <f t="shared" si="0"/>
        <v>933.54</v>
      </c>
      <c r="G27">
        <f t="shared" si="1"/>
        <v>933.54</v>
      </c>
    </row>
    <row r="28" spans="3:7" x14ac:dyDescent="0.25">
      <c r="C28">
        <f t="shared" si="0"/>
        <v>933.54</v>
      </c>
      <c r="G28">
        <f t="shared" si="1"/>
        <v>933.54</v>
      </c>
    </row>
    <row r="29" spans="3:7" x14ac:dyDescent="0.25">
      <c r="C29">
        <f t="shared" si="0"/>
        <v>933.54</v>
      </c>
      <c r="G29">
        <f t="shared" si="1"/>
        <v>933.54</v>
      </c>
    </row>
    <row r="30" spans="3:7" x14ac:dyDescent="0.25">
      <c r="C30">
        <f t="shared" si="0"/>
        <v>933.54</v>
      </c>
      <c r="G30">
        <f t="shared" si="1"/>
        <v>933.54</v>
      </c>
    </row>
    <row r="31" spans="3:7" x14ac:dyDescent="0.25">
      <c r="C31">
        <f t="shared" si="0"/>
        <v>933.54</v>
      </c>
    </row>
  </sheetData>
  <hyperlinks>
    <hyperlink ref="A2" location="SHORTCUTS!A1" display="SHORTCUTS" xr:uid="{E0C396DD-8599-4CE5-A59A-F9FEAA18B70C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A74E-A9D7-42D7-8332-1DF1CF10B2A4}">
  <dimension ref="A1:H39"/>
  <sheetViews>
    <sheetView workbookViewId="0">
      <selection activeCell="A2" sqref="A2"/>
    </sheetView>
  </sheetViews>
  <sheetFormatPr baseColWidth="10" defaultRowHeight="15" x14ac:dyDescent="0.25"/>
  <sheetData>
    <row r="1" spans="1:8" x14ac:dyDescent="0.25">
      <c r="A1" t="s">
        <v>501</v>
      </c>
    </row>
    <row r="2" spans="1:8" x14ac:dyDescent="0.25">
      <c r="A2" s="6" t="s">
        <v>304</v>
      </c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B3">
        <v>300</v>
      </c>
      <c r="C3">
        <v>1000</v>
      </c>
      <c r="D3">
        <v>2.88</v>
      </c>
      <c r="E3" s="1">
        <v>46154</v>
      </c>
      <c r="F3" t="s">
        <v>159</v>
      </c>
      <c r="G3">
        <f>C3-D3</f>
        <v>997.12</v>
      </c>
      <c r="H3" t="s">
        <v>511</v>
      </c>
    </row>
    <row r="4" spans="1:8" x14ac:dyDescent="0.25">
      <c r="A4" t="s">
        <v>513</v>
      </c>
      <c r="C4">
        <f>G3</f>
        <v>997.12</v>
      </c>
      <c r="D4">
        <v>59.9</v>
      </c>
      <c r="F4" t="s">
        <v>512</v>
      </c>
      <c r="G4">
        <f t="shared" ref="G4:G39" si="0">C4-D4</f>
        <v>937.22</v>
      </c>
      <c r="H4" t="s">
        <v>514</v>
      </c>
    </row>
    <row r="5" spans="1:8" x14ac:dyDescent="0.25">
      <c r="C5">
        <f t="shared" ref="C5:C36" si="1">G4</f>
        <v>937.22</v>
      </c>
      <c r="D5">
        <v>49.93</v>
      </c>
      <c r="E5" s="3">
        <v>46156</v>
      </c>
      <c r="F5" t="s">
        <v>517</v>
      </c>
      <c r="G5">
        <f t="shared" si="0"/>
        <v>887.29000000000008</v>
      </c>
    </row>
    <row r="6" spans="1:8" x14ac:dyDescent="0.25">
      <c r="C6">
        <f t="shared" si="1"/>
        <v>887.29000000000008</v>
      </c>
      <c r="D6">
        <v>39.94</v>
      </c>
      <c r="F6" t="s">
        <v>518</v>
      </c>
      <c r="G6">
        <f t="shared" si="0"/>
        <v>847.35000000000014</v>
      </c>
      <c r="H6" t="s">
        <v>519</v>
      </c>
    </row>
    <row r="7" spans="1:8" x14ac:dyDescent="0.25">
      <c r="C7">
        <f t="shared" si="1"/>
        <v>847.35000000000014</v>
      </c>
      <c r="D7">
        <v>39.81</v>
      </c>
      <c r="E7" s="3">
        <v>46157</v>
      </c>
      <c r="F7" t="s">
        <v>524</v>
      </c>
      <c r="G7">
        <f t="shared" si="0"/>
        <v>807.54000000000019</v>
      </c>
      <c r="H7" t="s">
        <v>522</v>
      </c>
    </row>
    <row r="8" spans="1:8" x14ac:dyDescent="0.25">
      <c r="C8">
        <f t="shared" si="1"/>
        <v>807.54000000000019</v>
      </c>
      <c r="D8">
        <v>9.9499999999999993</v>
      </c>
      <c r="F8" t="s">
        <v>523</v>
      </c>
      <c r="G8">
        <f t="shared" si="0"/>
        <v>797.59000000000015</v>
      </c>
      <c r="H8">
        <v>1</v>
      </c>
    </row>
    <row r="9" spans="1:8" x14ac:dyDescent="0.25">
      <c r="C9">
        <f t="shared" si="1"/>
        <v>797.59000000000015</v>
      </c>
      <c r="D9">
        <v>13.23</v>
      </c>
      <c r="E9" s="3">
        <v>46170</v>
      </c>
      <c r="F9" t="s">
        <v>593</v>
      </c>
      <c r="G9">
        <f t="shared" si="0"/>
        <v>784.36000000000013</v>
      </c>
      <c r="H9" t="s">
        <v>204</v>
      </c>
    </row>
    <row r="10" spans="1:8" x14ac:dyDescent="0.25">
      <c r="C10">
        <f t="shared" si="1"/>
        <v>784.36000000000013</v>
      </c>
      <c r="D10">
        <v>42</v>
      </c>
      <c r="F10" t="s">
        <v>594</v>
      </c>
      <c r="G10">
        <f t="shared" si="0"/>
        <v>742.36000000000013</v>
      </c>
    </row>
    <row r="11" spans="1:8" x14ac:dyDescent="0.25">
      <c r="C11">
        <f t="shared" si="1"/>
        <v>742.36000000000013</v>
      </c>
      <c r="D11">
        <v>8.3000000000000007</v>
      </c>
      <c r="E11" s="3">
        <v>46176</v>
      </c>
      <c r="F11" t="s">
        <v>618</v>
      </c>
      <c r="G11">
        <f t="shared" si="0"/>
        <v>734.06000000000017</v>
      </c>
    </row>
    <row r="12" spans="1:8" x14ac:dyDescent="0.25">
      <c r="C12">
        <f t="shared" si="1"/>
        <v>734.06000000000017</v>
      </c>
      <c r="D12">
        <v>8.81</v>
      </c>
      <c r="F12" t="s">
        <v>619</v>
      </c>
      <c r="G12">
        <f t="shared" si="0"/>
        <v>725.25000000000023</v>
      </c>
    </row>
    <row r="13" spans="1:8" x14ac:dyDescent="0.25">
      <c r="C13">
        <f t="shared" si="1"/>
        <v>725.25000000000023</v>
      </c>
      <c r="D13">
        <v>0.93</v>
      </c>
      <c r="F13" t="s">
        <v>620</v>
      </c>
      <c r="G13">
        <f t="shared" si="0"/>
        <v>724.32000000000028</v>
      </c>
      <c r="H13" t="s">
        <v>621</v>
      </c>
    </row>
    <row r="14" spans="1:8" x14ac:dyDescent="0.25">
      <c r="C14">
        <f t="shared" si="1"/>
        <v>724.32000000000028</v>
      </c>
      <c r="D14">
        <v>0.86</v>
      </c>
      <c r="F14" t="s">
        <v>622</v>
      </c>
      <c r="G14">
        <f t="shared" si="0"/>
        <v>723.46000000000026</v>
      </c>
    </row>
    <row r="15" spans="1:8" x14ac:dyDescent="0.25">
      <c r="C15">
        <f t="shared" si="1"/>
        <v>723.46000000000026</v>
      </c>
      <c r="D15">
        <v>0.96</v>
      </c>
      <c r="F15" t="s">
        <v>623</v>
      </c>
      <c r="G15">
        <f t="shared" si="0"/>
        <v>722.50000000000023</v>
      </c>
    </row>
    <row r="16" spans="1:8" x14ac:dyDescent="0.25">
      <c r="C16">
        <f t="shared" si="1"/>
        <v>722.50000000000023</v>
      </c>
      <c r="D16">
        <v>0.73</v>
      </c>
      <c r="F16" t="s">
        <v>624</v>
      </c>
      <c r="G16">
        <f t="shared" si="0"/>
        <v>721.77000000000021</v>
      </c>
    </row>
    <row r="17" spans="3:8" x14ac:dyDescent="0.25">
      <c r="C17">
        <f t="shared" si="1"/>
        <v>721.77000000000021</v>
      </c>
      <c r="D17">
        <v>23.6</v>
      </c>
      <c r="F17" t="s">
        <v>625</v>
      </c>
      <c r="G17">
        <f t="shared" si="0"/>
        <v>698.17000000000019</v>
      </c>
      <c r="H17" t="s">
        <v>314</v>
      </c>
    </row>
    <row r="18" spans="3:8" x14ac:dyDescent="0.25">
      <c r="C18">
        <f t="shared" si="1"/>
        <v>698.17000000000019</v>
      </c>
      <c r="G18">
        <f t="shared" si="0"/>
        <v>698.17000000000019</v>
      </c>
    </row>
    <row r="19" spans="3:8" x14ac:dyDescent="0.25">
      <c r="C19">
        <f t="shared" si="1"/>
        <v>698.17000000000019</v>
      </c>
      <c r="G19">
        <f t="shared" si="0"/>
        <v>698.17000000000019</v>
      </c>
    </row>
    <row r="20" spans="3:8" x14ac:dyDescent="0.25">
      <c r="C20">
        <f t="shared" si="1"/>
        <v>698.17000000000019</v>
      </c>
      <c r="G20">
        <f t="shared" si="0"/>
        <v>698.17000000000019</v>
      </c>
    </row>
    <row r="21" spans="3:8" x14ac:dyDescent="0.25">
      <c r="C21">
        <f t="shared" si="1"/>
        <v>698.17000000000019</v>
      </c>
      <c r="G21">
        <f t="shared" si="0"/>
        <v>698.17000000000019</v>
      </c>
    </row>
    <row r="22" spans="3:8" x14ac:dyDescent="0.25">
      <c r="C22">
        <f t="shared" si="1"/>
        <v>698.17000000000019</v>
      </c>
      <c r="G22">
        <f t="shared" si="0"/>
        <v>698.17000000000019</v>
      </c>
    </row>
    <row r="23" spans="3:8" x14ac:dyDescent="0.25">
      <c r="C23">
        <f t="shared" si="1"/>
        <v>698.17000000000019</v>
      </c>
      <c r="G23">
        <f t="shared" si="0"/>
        <v>698.17000000000019</v>
      </c>
    </row>
    <row r="24" spans="3:8" x14ac:dyDescent="0.25">
      <c r="C24">
        <f t="shared" si="1"/>
        <v>698.17000000000019</v>
      </c>
      <c r="G24">
        <f t="shared" si="0"/>
        <v>698.17000000000019</v>
      </c>
    </row>
    <row r="25" spans="3:8" x14ac:dyDescent="0.25">
      <c r="C25">
        <f t="shared" si="1"/>
        <v>698.17000000000019</v>
      </c>
      <c r="G25">
        <f t="shared" si="0"/>
        <v>698.17000000000019</v>
      </c>
    </row>
    <row r="26" spans="3:8" x14ac:dyDescent="0.25">
      <c r="C26">
        <f t="shared" si="1"/>
        <v>698.17000000000019</v>
      </c>
      <c r="G26">
        <f t="shared" si="0"/>
        <v>698.17000000000019</v>
      </c>
    </row>
    <row r="27" spans="3:8" x14ac:dyDescent="0.25">
      <c r="C27">
        <f t="shared" si="1"/>
        <v>698.17000000000019</v>
      </c>
      <c r="G27">
        <f t="shared" si="0"/>
        <v>698.17000000000019</v>
      </c>
    </row>
    <row r="28" spans="3:8" x14ac:dyDescent="0.25">
      <c r="C28">
        <f t="shared" si="1"/>
        <v>698.17000000000019</v>
      </c>
      <c r="G28">
        <f t="shared" si="0"/>
        <v>698.17000000000019</v>
      </c>
    </row>
    <row r="29" spans="3:8" x14ac:dyDescent="0.25">
      <c r="C29">
        <f t="shared" si="1"/>
        <v>698.17000000000019</v>
      </c>
      <c r="G29">
        <f t="shared" si="0"/>
        <v>698.17000000000019</v>
      </c>
    </row>
    <row r="30" spans="3:8" x14ac:dyDescent="0.25">
      <c r="C30">
        <f t="shared" si="1"/>
        <v>698.17000000000019</v>
      </c>
      <c r="G30">
        <f t="shared" si="0"/>
        <v>698.17000000000019</v>
      </c>
    </row>
    <row r="31" spans="3:8" x14ac:dyDescent="0.25">
      <c r="C31">
        <f t="shared" si="1"/>
        <v>698.17000000000019</v>
      </c>
      <c r="G31">
        <f t="shared" si="0"/>
        <v>698.17000000000019</v>
      </c>
    </row>
    <row r="32" spans="3:8" x14ac:dyDescent="0.25">
      <c r="C32">
        <f t="shared" si="1"/>
        <v>698.17000000000019</v>
      </c>
      <c r="G32">
        <f t="shared" si="0"/>
        <v>698.17000000000019</v>
      </c>
    </row>
    <row r="33" spans="3:7" x14ac:dyDescent="0.25">
      <c r="C33">
        <f t="shared" si="1"/>
        <v>698.17000000000019</v>
      </c>
      <c r="G33">
        <f t="shared" si="0"/>
        <v>698.17000000000019</v>
      </c>
    </row>
    <row r="34" spans="3:7" x14ac:dyDescent="0.25">
      <c r="C34">
        <f t="shared" si="1"/>
        <v>698.17000000000019</v>
      </c>
      <c r="G34">
        <f t="shared" si="0"/>
        <v>698.17000000000019</v>
      </c>
    </row>
    <row r="35" spans="3:7" x14ac:dyDescent="0.25">
      <c r="C35">
        <f t="shared" si="1"/>
        <v>698.17000000000019</v>
      </c>
      <c r="G35">
        <f t="shared" si="0"/>
        <v>698.17000000000019</v>
      </c>
    </row>
    <row r="36" spans="3:7" x14ac:dyDescent="0.25">
      <c r="C36">
        <f t="shared" si="1"/>
        <v>698.17000000000019</v>
      </c>
      <c r="G36">
        <f t="shared" si="0"/>
        <v>698.17000000000019</v>
      </c>
    </row>
    <row r="37" spans="3:7" x14ac:dyDescent="0.25">
      <c r="G37">
        <f t="shared" si="0"/>
        <v>0</v>
      </c>
    </row>
    <row r="38" spans="3:7" x14ac:dyDescent="0.25">
      <c r="G38">
        <f t="shared" si="0"/>
        <v>0</v>
      </c>
    </row>
    <row r="39" spans="3:7" x14ac:dyDescent="0.25">
      <c r="G39">
        <f t="shared" si="0"/>
        <v>0</v>
      </c>
    </row>
  </sheetData>
  <hyperlinks>
    <hyperlink ref="A2" location="SHORTCUTS!A1" display="SHORTCUTS" xr:uid="{7241C843-5957-49AF-AFDB-3FB8C3E0CEA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3E07-122C-427B-BF2C-E16EC2B9BC44}">
  <dimension ref="A1:I20"/>
  <sheetViews>
    <sheetView workbookViewId="0">
      <selection sqref="A1:H4"/>
    </sheetView>
  </sheetViews>
  <sheetFormatPr baseColWidth="10" defaultRowHeight="15" x14ac:dyDescent="0.25"/>
  <sheetData>
    <row r="1" spans="1:9" x14ac:dyDescent="0.25">
      <c r="A1" t="s">
        <v>531</v>
      </c>
    </row>
    <row r="2" spans="1:9" x14ac:dyDescent="0.25">
      <c r="A2" s="6" t="s">
        <v>304</v>
      </c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9" x14ac:dyDescent="0.25">
      <c r="B3">
        <v>300</v>
      </c>
      <c r="C3">
        <v>1000</v>
      </c>
      <c r="D3">
        <v>12.16</v>
      </c>
      <c r="E3" s="1">
        <v>46159</v>
      </c>
      <c r="F3" t="s">
        <v>532</v>
      </c>
      <c r="G3">
        <f>C3-D3</f>
        <v>987.84</v>
      </c>
      <c r="H3" t="s">
        <v>533</v>
      </c>
    </row>
    <row r="4" spans="1:9" x14ac:dyDescent="0.25">
      <c r="C4">
        <f>G3</f>
        <v>987.84</v>
      </c>
      <c r="D4">
        <v>4.93</v>
      </c>
      <c r="F4" t="s">
        <v>272</v>
      </c>
      <c r="G4">
        <f t="shared" ref="G4:G20" si="0">C4-D4</f>
        <v>982.91000000000008</v>
      </c>
      <c r="H4">
        <v>22</v>
      </c>
    </row>
    <row r="5" spans="1:9" x14ac:dyDescent="0.25">
      <c r="C5">
        <f t="shared" ref="C5:C20" si="1">G4</f>
        <v>982.91000000000008</v>
      </c>
      <c r="D5">
        <v>15.19</v>
      </c>
      <c r="E5" s="3"/>
      <c r="F5" t="s">
        <v>534</v>
      </c>
      <c r="G5">
        <f t="shared" si="0"/>
        <v>967.72</v>
      </c>
      <c r="H5" t="s">
        <v>535</v>
      </c>
    </row>
    <row r="6" spans="1:9" x14ac:dyDescent="0.25">
      <c r="C6">
        <f t="shared" si="1"/>
        <v>967.72</v>
      </c>
      <c r="D6">
        <v>15.98</v>
      </c>
      <c r="F6" t="s">
        <v>536</v>
      </c>
      <c r="G6">
        <f t="shared" si="0"/>
        <v>951.74</v>
      </c>
      <c r="H6">
        <v>51</v>
      </c>
    </row>
    <row r="7" spans="1:9" x14ac:dyDescent="0.25">
      <c r="C7">
        <f t="shared" si="1"/>
        <v>951.74</v>
      </c>
      <c r="D7">
        <v>1.97</v>
      </c>
      <c r="E7" s="3"/>
      <c r="F7" t="s">
        <v>537</v>
      </c>
      <c r="G7">
        <f t="shared" si="0"/>
        <v>949.77</v>
      </c>
      <c r="H7" t="s">
        <v>214</v>
      </c>
    </row>
    <row r="8" spans="1:9" x14ac:dyDescent="0.25">
      <c r="C8">
        <f t="shared" si="1"/>
        <v>949.77</v>
      </c>
      <c r="D8">
        <v>0.57999999999999996</v>
      </c>
      <c r="F8" t="s">
        <v>538</v>
      </c>
      <c r="G8">
        <f t="shared" si="0"/>
        <v>949.18999999999994</v>
      </c>
      <c r="H8" t="s">
        <v>224</v>
      </c>
    </row>
    <row r="9" spans="1:9" x14ac:dyDescent="0.25">
      <c r="C9">
        <f t="shared" si="1"/>
        <v>949.18999999999994</v>
      </c>
      <c r="D9">
        <v>0.57999999999999996</v>
      </c>
      <c r="F9" t="s">
        <v>538</v>
      </c>
      <c r="G9">
        <f t="shared" si="0"/>
        <v>948.6099999999999</v>
      </c>
    </row>
    <row r="10" spans="1:9" x14ac:dyDescent="0.25">
      <c r="C10">
        <f t="shared" si="1"/>
        <v>948.6099999999999</v>
      </c>
      <c r="D10">
        <v>28.91</v>
      </c>
      <c r="F10" t="s">
        <v>539</v>
      </c>
      <c r="G10">
        <f t="shared" si="0"/>
        <v>919.69999999999993</v>
      </c>
      <c r="H10" t="s">
        <v>460</v>
      </c>
      <c r="I10" t="s">
        <v>540</v>
      </c>
    </row>
    <row r="11" spans="1:9" x14ac:dyDescent="0.25">
      <c r="C11">
        <f t="shared" si="1"/>
        <v>919.69999999999993</v>
      </c>
      <c r="D11">
        <v>28.91</v>
      </c>
      <c r="F11" t="s">
        <v>539</v>
      </c>
      <c r="G11">
        <f t="shared" si="0"/>
        <v>890.79</v>
      </c>
    </row>
    <row r="12" spans="1:9" x14ac:dyDescent="0.25">
      <c r="C12">
        <f t="shared" si="1"/>
        <v>890.79</v>
      </c>
      <c r="D12">
        <v>131.97</v>
      </c>
      <c r="E12" s="3">
        <v>46160</v>
      </c>
      <c r="F12" t="s">
        <v>541</v>
      </c>
      <c r="G12">
        <f t="shared" si="0"/>
        <v>758.81999999999994</v>
      </c>
      <c r="H12" t="s">
        <v>542</v>
      </c>
    </row>
    <row r="13" spans="1:9" x14ac:dyDescent="0.25">
      <c r="C13">
        <f t="shared" si="1"/>
        <v>758.81999999999994</v>
      </c>
      <c r="D13">
        <v>131.96</v>
      </c>
      <c r="F13" t="s">
        <v>543</v>
      </c>
      <c r="G13">
        <f t="shared" si="0"/>
        <v>626.8599999999999</v>
      </c>
      <c r="H13" t="s">
        <v>542</v>
      </c>
    </row>
    <row r="14" spans="1:9" x14ac:dyDescent="0.25">
      <c r="C14">
        <f t="shared" si="1"/>
        <v>626.8599999999999</v>
      </c>
      <c r="G14">
        <f t="shared" si="0"/>
        <v>626.8599999999999</v>
      </c>
    </row>
    <row r="15" spans="1:9" x14ac:dyDescent="0.25">
      <c r="C15">
        <f t="shared" si="1"/>
        <v>626.8599999999999</v>
      </c>
      <c r="G15">
        <f t="shared" si="0"/>
        <v>626.8599999999999</v>
      </c>
    </row>
    <row r="16" spans="1:9" x14ac:dyDescent="0.25">
      <c r="C16">
        <f t="shared" si="1"/>
        <v>626.8599999999999</v>
      </c>
      <c r="G16">
        <f t="shared" si="0"/>
        <v>626.8599999999999</v>
      </c>
    </row>
    <row r="17" spans="3:7" x14ac:dyDescent="0.25">
      <c r="C17">
        <f t="shared" si="1"/>
        <v>626.8599999999999</v>
      </c>
      <c r="G17">
        <f t="shared" si="0"/>
        <v>626.8599999999999</v>
      </c>
    </row>
    <row r="18" spans="3:7" x14ac:dyDescent="0.25">
      <c r="C18">
        <f t="shared" si="1"/>
        <v>626.8599999999999</v>
      </c>
      <c r="G18">
        <f t="shared" si="0"/>
        <v>626.8599999999999</v>
      </c>
    </row>
    <row r="19" spans="3:7" x14ac:dyDescent="0.25">
      <c r="C19">
        <f t="shared" si="1"/>
        <v>626.8599999999999</v>
      </c>
      <c r="G19">
        <f t="shared" si="0"/>
        <v>626.8599999999999</v>
      </c>
    </row>
    <row r="20" spans="3:7" x14ac:dyDescent="0.25">
      <c r="C20">
        <f t="shared" si="1"/>
        <v>626.8599999999999</v>
      </c>
      <c r="G20">
        <f t="shared" si="0"/>
        <v>626.8599999999999</v>
      </c>
    </row>
  </sheetData>
  <hyperlinks>
    <hyperlink ref="A2" location="SHORTCUTS!A1" display="SHORTCUTS" xr:uid="{D9A25A4B-9730-44E5-9D9E-A6497C02C166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0CBF-9BA0-462F-A81C-FE32066BCA1F}">
  <dimension ref="A1:H27"/>
  <sheetViews>
    <sheetView workbookViewId="0">
      <selection activeCell="A2" sqref="A2"/>
    </sheetView>
  </sheetViews>
  <sheetFormatPr baseColWidth="10" defaultRowHeight="15" x14ac:dyDescent="0.25"/>
  <cols>
    <col min="6" max="6" width="25.42578125" customWidth="1"/>
  </cols>
  <sheetData>
    <row r="1" spans="1:8" x14ac:dyDescent="0.25">
      <c r="A1" t="s">
        <v>570</v>
      </c>
    </row>
    <row r="2" spans="1:8" x14ac:dyDescent="0.25">
      <c r="A2" s="6" t="s">
        <v>304</v>
      </c>
      <c r="B2" t="s">
        <v>11</v>
      </c>
      <c r="C2" t="s">
        <v>2</v>
      </c>
      <c r="D2" t="s">
        <v>5</v>
      </c>
      <c r="E2" t="s">
        <v>3</v>
      </c>
      <c r="F2" t="s">
        <v>4</v>
      </c>
      <c r="G2" t="s">
        <v>7</v>
      </c>
      <c r="H2" t="s">
        <v>191</v>
      </c>
    </row>
    <row r="3" spans="1:8" x14ac:dyDescent="0.25">
      <c r="B3">
        <v>300</v>
      </c>
      <c r="C3">
        <v>1000</v>
      </c>
      <c r="D3">
        <v>4.57</v>
      </c>
      <c r="E3" s="1">
        <v>46168</v>
      </c>
      <c r="F3" t="s">
        <v>571</v>
      </c>
      <c r="G3">
        <f>C3-D3</f>
        <v>995.43</v>
      </c>
      <c r="H3" t="s">
        <v>206</v>
      </c>
    </row>
    <row r="4" spans="1:8" x14ac:dyDescent="0.25">
      <c r="C4">
        <f>G3</f>
        <v>995.43</v>
      </c>
      <c r="D4">
        <v>20.52</v>
      </c>
      <c r="F4" t="s">
        <v>440</v>
      </c>
      <c r="G4">
        <f t="shared" ref="G4:G27" si="0">C4-D4</f>
        <v>974.91</v>
      </c>
      <c r="H4" t="s">
        <v>573</v>
      </c>
    </row>
    <row r="5" spans="1:8" x14ac:dyDescent="0.25">
      <c r="C5">
        <f t="shared" ref="C5:C27" si="1">G4</f>
        <v>974.91</v>
      </c>
      <c r="D5">
        <v>1.29</v>
      </c>
      <c r="F5" t="s">
        <v>574</v>
      </c>
      <c r="G5">
        <f t="shared" si="0"/>
        <v>973.62</v>
      </c>
    </row>
    <row r="6" spans="1:8" x14ac:dyDescent="0.25">
      <c r="C6">
        <f t="shared" si="1"/>
        <v>973.62</v>
      </c>
      <c r="D6">
        <v>12.01</v>
      </c>
      <c r="E6" s="3">
        <v>46169</v>
      </c>
      <c r="F6" t="s">
        <v>566</v>
      </c>
      <c r="G6">
        <f t="shared" si="0"/>
        <v>961.61</v>
      </c>
      <c r="H6" t="s">
        <v>592</v>
      </c>
    </row>
    <row r="7" spans="1:8" x14ac:dyDescent="0.25">
      <c r="C7">
        <f t="shared" si="1"/>
        <v>961.61</v>
      </c>
      <c r="D7">
        <v>8.74</v>
      </c>
      <c r="E7" s="3">
        <v>46175</v>
      </c>
      <c r="F7" t="s">
        <v>611</v>
      </c>
      <c r="G7">
        <f t="shared" si="0"/>
        <v>952.87</v>
      </c>
    </row>
    <row r="8" spans="1:8" x14ac:dyDescent="0.25">
      <c r="C8">
        <f t="shared" si="1"/>
        <v>952.87</v>
      </c>
      <c r="D8">
        <v>8.81</v>
      </c>
      <c r="F8" t="s">
        <v>612</v>
      </c>
      <c r="G8">
        <f t="shared" si="0"/>
        <v>944.06000000000006</v>
      </c>
    </row>
    <row r="9" spans="1:8" x14ac:dyDescent="0.25">
      <c r="C9">
        <f t="shared" si="1"/>
        <v>944.06000000000006</v>
      </c>
      <c r="D9">
        <v>1.1299999999999999</v>
      </c>
      <c r="F9" t="s">
        <v>613</v>
      </c>
      <c r="G9">
        <f t="shared" si="0"/>
        <v>942.93000000000006</v>
      </c>
    </row>
    <row r="10" spans="1:8" x14ac:dyDescent="0.25">
      <c r="C10">
        <f t="shared" si="1"/>
        <v>942.93000000000006</v>
      </c>
      <c r="D10">
        <v>1.1299999999999999</v>
      </c>
      <c r="F10" t="s">
        <v>614</v>
      </c>
      <c r="G10">
        <f t="shared" si="0"/>
        <v>941.80000000000007</v>
      </c>
    </row>
    <row r="11" spans="1:8" x14ac:dyDescent="0.25">
      <c r="C11">
        <f t="shared" si="1"/>
        <v>941.80000000000007</v>
      </c>
      <c r="D11">
        <v>0.47</v>
      </c>
      <c r="F11" t="s">
        <v>615</v>
      </c>
      <c r="G11">
        <f t="shared" si="0"/>
        <v>941.33</v>
      </c>
    </row>
    <row r="12" spans="1:8" x14ac:dyDescent="0.25">
      <c r="C12">
        <f t="shared" si="1"/>
        <v>941.33</v>
      </c>
      <c r="D12">
        <v>9.74</v>
      </c>
      <c r="F12" t="s">
        <v>616</v>
      </c>
      <c r="G12">
        <f t="shared" si="0"/>
        <v>931.59</v>
      </c>
      <c r="H12" t="s">
        <v>592</v>
      </c>
    </row>
    <row r="13" spans="1:8" x14ac:dyDescent="0.25">
      <c r="C13">
        <f t="shared" si="1"/>
        <v>931.59</v>
      </c>
      <c r="D13">
        <v>2.64</v>
      </c>
      <c r="F13" t="s">
        <v>617</v>
      </c>
      <c r="G13">
        <f t="shared" si="0"/>
        <v>928.95</v>
      </c>
    </row>
    <row r="14" spans="1:8" x14ac:dyDescent="0.25">
      <c r="C14">
        <f t="shared" si="1"/>
        <v>928.95</v>
      </c>
      <c r="G14">
        <f t="shared" si="0"/>
        <v>928.95</v>
      </c>
    </row>
    <row r="15" spans="1:8" x14ac:dyDescent="0.25">
      <c r="C15">
        <f t="shared" si="1"/>
        <v>928.95</v>
      </c>
      <c r="G15">
        <f t="shared" si="0"/>
        <v>928.95</v>
      </c>
    </row>
    <row r="16" spans="1:8" x14ac:dyDescent="0.25">
      <c r="C16">
        <f t="shared" si="1"/>
        <v>928.95</v>
      </c>
      <c r="G16">
        <f t="shared" si="0"/>
        <v>928.95</v>
      </c>
    </row>
    <row r="17" spans="3:7" x14ac:dyDescent="0.25">
      <c r="C17">
        <f t="shared" si="1"/>
        <v>928.95</v>
      </c>
      <c r="G17">
        <f t="shared" si="0"/>
        <v>928.95</v>
      </c>
    </row>
    <row r="18" spans="3:7" x14ac:dyDescent="0.25">
      <c r="C18">
        <f t="shared" si="1"/>
        <v>928.95</v>
      </c>
      <c r="G18">
        <f t="shared" si="0"/>
        <v>928.95</v>
      </c>
    </row>
    <row r="19" spans="3:7" x14ac:dyDescent="0.25">
      <c r="C19">
        <f t="shared" si="1"/>
        <v>928.95</v>
      </c>
      <c r="G19">
        <f t="shared" si="0"/>
        <v>928.95</v>
      </c>
    </row>
    <row r="20" spans="3:7" x14ac:dyDescent="0.25">
      <c r="C20">
        <f t="shared" si="1"/>
        <v>928.95</v>
      </c>
      <c r="G20">
        <f t="shared" si="0"/>
        <v>928.95</v>
      </c>
    </row>
    <row r="21" spans="3:7" x14ac:dyDescent="0.25">
      <c r="C21">
        <f t="shared" si="1"/>
        <v>928.95</v>
      </c>
      <c r="G21">
        <f t="shared" si="0"/>
        <v>928.95</v>
      </c>
    </row>
    <row r="22" spans="3:7" x14ac:dyDescent="0.25">
      <c r="C22">
        <f t="shared" si="1"/>
        <v>928.95</v>
      </c>
      <c r="G22">
        <f t="shared" si="0"/>
        <v>928.95</v>
      </c>
    </row>
    <row r="23" spans="3:7" x14ac:dyDescent="0.25">
      <c r="C23">
        <f t="shared" si="1"/>
        <v>928.95</v>
      </c>
      <c r="G23">
        <f t="shared" si="0"/>
        <v>928.95</v>
      </c>
    </row>
    <row r="24" spans="3:7" x14ac:dyDescent="0.25">
      <c r="C24">
        <f t="shared" si="1"/>
        <v>928.95</v>
      </c>
      <c r="G24">
        <f t="shared" si="0"/>
        <v>928.95</v>
      </c>
    </row>
    <row r="25" spans="3:7" x14ac:dyDescent="0.25">
      <c r="C25">
        <f t="shared" si="1"/>
        <v>928.95</v>
      </c>
      <c r="G25">
        <f t="shared" si="0"/>
        <v>928.95</v>
      </c>
    </row>
    <row r="26" spans="3:7" x14ac:dyDescent="0.25">
      <c r="C26">
        <f t="shared" si="1"/>
        <v>928.95</v>
      </c>
      <c r="G26">
        <f t="shared" si="0"/>
        <v>928.95</v>
      </c>
    </row>
    <row r="27" spans="3:7" x14ac:dyDescent="0.25">
      <c r="C27">
        <f t="shared" si="1"/>
        <v>928.95</v>
      </c>
      <c r="G27">
        <f t="shared" si="0"/>
        <v>928.95</v>
      </c>
    </row>
  </sheetData>
  <hyperlinks>
    <hyperlink ref="A2" location="SHORTCUTS!A1" display="SHORTCUTS" xr:uid="{2170F49F-E54D-4186-B0B4-6416F522F0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SHORTCUTS</vt:lpstr>
      <vt:lpstr>Hoja7</vt:lpstr>
      <vt:lpstr>Hoja3</vt:lpstr>
      <vt:lpstr>Hoja5</vt:lpstr>
      <vt:lpstr>Hoja2</vt:lpstr>
      <vt:lpstr>ROJO_MORADO_DORADO</vt:lpstr>
      <vt:lpstr>PLA BLANCO KARDENAL</vt:lpstr>
      <vt:lpstr>NEGRO GOLD MORADO</vt:lpstr>
      <vt:lpstr>NEGRO AZUL MORADO</vt:lpstr>
      <vt:lpstr>PLA ROJO KARDENAL</vt:lpstr>
      <vt:lpstr>PLA NEGRO KARDENAL</vt:lpstr>
      <vt:lpstr>PLA BEIGE KARDENAL</vt:lpstr>
      <vt:lpstr>Hoja1</vt:lpstr>
      <vt:lpstr>PLA LILA KARDENAL</vt:lpstr>
      <vt:lpstr>PLA SILVER KARDENAL</vt:lpstr>
      <vt:lpstr>PLA VERDE MATTE</vt:lpstr>
      <vt:lpstr>PLA AZUL MATTE SUNLU</vt:lpstr>
      <vt:lpstr>PLA AMARILLO MATTE SUNLU</vt:lpstr>
      <vt:lpstr>NEGRO ROJO DORADO</vt:lpstr>
      <vt:lpstr>ROJO AZUL VERDE</vt:lpstr>
      <vt:lpstr>PLA NARANJA MEXICOMAKERS</vt:lpstr>
      <vt:lpstr>Hoja4</vt:lpstr>
      <vt:lpstr>Hoja6</vt:lpstr>
      <vt:lpstr>Cafe Mexicomakers</vt:lpstr>
      <vt:lpstr>PLA+ NEGRO SUNLU</vt:lpstr>
      <vt:lpstr>PETG CAFE SUNLU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.</dc:creator>
  <cp:lastModifiedBy>F .</cp:lastModifiedBy>
  <dcterms:created xsi:type="dcterms:W3CDTF">2026-01-26T04:37:20Z</dcterms:created>
  <dcterms:modified xsi:type="dcterms:W3CDTF">2026-06-04T07:46:04Z</dcterms:modified>
</cp:coreProperties>
</file>